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projects\R\swecoords\inst\extdata\"/>
    </mc:Choice>
  </mc:AlternateContent>
  <xr:revisionPtr revIDLastSave="0" documentId="13_ncr:1_{0ADAD6C7-7431-4EFF-97DF-2562C0F3290C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Instructions" sheetId="12" r:id="rId1"/>
    <sheet name="Examples" sheetId="10" r:id="rId2"/>
    <sheet name="Data (SWEREF 99 -&gt; RT90)" sheetId="7" state="hidden" r:id="rId3"/>
    <sheet name="Data (Lat_Long -&gt; SWEREF 99)" sheetId="8" state="hidden" r:id="rId4"/>
    <sheet name="parameters" sheetId="6" state="hidden" r:id="rId5"/>
    <sheet name="Control_points_direct_transform" sheetId="15" r:id="rId6"/>
    <sheet name="Control_points_direct_trans (2)" sheetId="17" r:id="rId7"/>
    <sheet name="Control_points_SWEREF99_TM" sheetId="13" r:id="rId8"/>
    <sheet name="Control_points_local_zones" sheetId="14" r:id="rId9"/>
    <sheet name="EPSG" sheetId="16" r:id="rId10"/>
  </sheets>
  <externalReferences>
    <externalReference r:id="rId11"/>
  </externalReferences>
  <definedNames>
    <definedName name="_xlnm._FilterDatabase" localSheetId="8" hidden="1">Control_points_local_zones!$A$2:$J$75</definedName>
    <definedName name="projection_list">parameters!$A$2:$A$26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7" i="15" l="1"/>
  <c r="E7" i="15"/>
  <c r="H7" i="15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" i="16"/>
  <c r="J7" i="8" a="1"/>
  <c r="J7" i="8" s="1"/>
  <c r="J4" i="8" a="1"/>
  <c r="J4" i="8" s="1"/>
  <c r="J6" i="8" a="1"/>
  <c r="J6" i="8" s="1"/>
  <c r="J5" i="8" a="1"/>
  <c r="J5" i="8" s="1"/>
  <c r="F4" i="7" a="1"/>
  <c r="G4" i="7" s="1"/>
  <c r="F5" i="7" a="1"/>
  <c r="F5" i="7" s="1"/>
  <c r="D11" i="7" a="1"/>
  <c r="D11" i="7" s="1"/>
  <c r="D12" i="7" a="1"/>
  <c r="D12" i="7" s="1"/>
  <c r="D10" i="7" a="1"/>
  <c r="E10" i="7" s="1"/>
  <c r="F10" i="7" a="1"/>
  <c r="F10" i="7" s="1"/>
  <c r="D13" i="7" a="1"/>
  <c r="D13" i="7" s="1"/>
  <c r="F11" i="7" a="1"/>
  <c r="F11" i="7" s="1"/>
  <c r="D4" i="7" a="1"/>
  <c r="E4" i="7" s="1"/>
  <c r="F6" i="7" a="1"/>
  <c r="F6" i="7" s="1"/>
  <c r="D6" i="7" a="1"/>
  <c r="E6" i="7" s="1"/>
  <c r="D5" i="7" a="1"/>
  <c r="D5" i="7" s="1"/>
  <c r="F3" i="7" a="1"/>
  <c r="F3" i="7" s="1"/>
  <c r="F12" i="7" a="1"/>
  <c r="F12" i="7" s="1"/>
  <c r="F13" i="7" a="1"/>
  <c r="F13" i="7" s="1"/>
  <c r="D3" i="7" a="1"/>
  <c r="D3" i="7" s="1"/>
  <c r="F14" i="10" a="1"/>
  <c r="F48" i="10" a="1"/>
  <c r="F47" i="10" a="1"/>
  <c r="F11" i="10" a="1"/>
  <c r="F39" i="10" a="1"/>
  <c r="F25" i="10" a="1"/>
  <c r="F5" i="10" a="1"/>
  <c r="E6" i="15" a="1"/>
  <c r="F40" i="10" a="1"/>
  <c r="F42" i="10" a="1"/>
  <c r="E5" i="15" a="1"/>
  <c r="F7" i="10" a="1"/>
  <c r="F20" i="10" a="1"/>
  <c r="F13" i="10" a="1"/>
  <c r="F19" i="10" a="1"/>
  <c r="F4" i="10" a="1"/>
  <c r="F34" i="10" a="1"/>
  <c r="F32" i="10" a="1"/>
  <c r="F46" i="10" a="1"/>
  <c r="F49" i="10" a="1"/>
  <c r="F6" i="10" a="1"/>
  <c r="F21" i="10" a="1"/>
  <c r="E4" i="15" a="1"/>
  <c r="F12" i="10" a="1"/>
  <c r="F26" i="10" a="1"/>
  <c r="F33" i="10" a="1"/>
  <c r="F18" i="10" a="1"/>
  <c r="F41" i="10" a="1"/>
  <c r="F35" i="10" a="1"/>
  <c r="F27" i="10" a="1"/>
  <c r="F28" i="10" a="1"/>
  <c r="E3" i="15" a="1"/>
  <c r="G34" i="10" l="1"/>
  <c r="F34" i="10"/>
  <c r="G33" i="10"/>
  <c r="F33" i="10"/>
  <c r="F35" i="10"/>
  <c r="G35" i="10"/>
  <c r="F32" i="10"/>
  <c r="G32" i="10"/>
  <c r="F49" i="10"/>
  <c r="G49" i="10"/>
  <c r="F48" i="10"/>
  <c r="G48" i="10"/>
  <c r="F47" i="10"/>
  <c r="G47" i="10"/>
  <c r="G46" i="10"/>
  <c r="F46" i="10"/>
  <c r="E6" i="15"/>
  <c r="F6" i="15"/>
  <c r="E5" i="15"/>
  <c r="F5" i="15"/>
  <c r="E4" i="15"/>
  <c r="F4" i="15"/>
  <c r="E3" i="15"/>
  <c r="F3" i="15"/>
  <c r="G28" i="10"/>
  <c r="F28" i="10"/>
  <c r="F27" i="10"/>
  <c r="G27" i="10"/>
  <c r="G26" i="10"/>
  <c r="F26" i="10"/>
  <c r="F25" i="10"/>
  <c r="G25" i="10"/>
  <c r="F42" i="10"/>
  <c r="G42" i="10"/>
  <c r="F41" i="10"/>
  <c r="G41" i="10"/>
  <c r="F40" i="10"/>
  <c r="G40" i="10"/>
  <c r="F39" i="10"/>
  <c r="G39" i="10"/>
  <c r="G21" i="10"/>
  <c r="F21" i="10"/>
  <c r="F20" i="10"/>
  <c r="G20" i="10"/>
  <c r="F19" i="10"/>
  <c r="G19" i="10"/>
  <c r="F18" i="10"/>
  <c r="G18" i="10"/>
  <c r="F13" i="10"/>
  <c r="G13" i="10"/>
  <c r="F14" i="10"/>
  <c r="G14" i="10"/>
  <c r="F12" i="10"/>
  <c r="G12" i="10"/>
  <c r="F11" i="10"/>
  <c r="G11" i="10"/>
  <c r="F6" i="10"/>
  <c r="G6" i="10"/>
  <c r="F7" i="10"/>
  <c r="G7" i="10"/>
  <c r="F5" i="10"/>
  <c r="G5" i="10"/>
  <c r="F4" i="10"/>
  <c r="G4" i="10"/>
  <c r="F4" i="7"/>
  <c r="D6" i="7"/>
  <c r="K6" i="8"/>
  <c r="G5" i="7"/>
  <c r="E13" i="7"/>
  <c r="G13" i="7"/>
  <c r="G10" i="7"/>
  <c r="G12" i="7"/>
  <c r="D10" i="7"/>
  <c r="K4" i="8"/>
  <c r="E11" i="7"/>
  <c r="D4" i="7"/>
  <c r="E3" i="7"/>
  <c r="E12" i="7"/>
  <c r="G11" i="7"/>
  <c r="G3" i="7"/>
  <c r="K7" i="8"/>
  <c r="E5" i="7"/>
  <c r="K5" i="8"/>
  <c r="G6" i="7"/>
  <c r="E3" i="13"/>
  <c r="F3" i="13"/>
  <c r="H5" i="15" a="1"/>
  <c r="G3" i="13" a="1"/>
  <c r="H6" i="15" a="1"/>
  <c r="H3" i="15" a="1"/>
  <c r="H4" i="15" a="1"/>
  <c r="G3" i="13" l="1"/>
  <c r="H3" i="13"/>
  <c r="H4" i="15"/>
  <c r="C9" i="15" s="1"/>
  <c r="I4" i="15"/>
  <c r="D9" i="15" s="1"/>
  <c r="H5" i="15"/>
  <c r="C10" i="15" s="1"/>
  <c r="I5" i="15"/>
  <c r="H6" i="15"/>
  <c r="C11" i="15" s="1"/>
  <c r="I6" i="15"/>
  <c r="H3" i="15"/>
  <c r="C8" i="15" s="1"/>
  <c r="I3" i="15"/>
  <c r="D8" i="15" s="1"/>
  <c r="D11" i="15"/>
  <c r="D10" i="15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G10" i="13" a="1"/>
  <c r="E11" i="15" a="1"/>
  <c r="G8" i="13" a="1"/>
  <c r="G6" i="13" a="1"/>
  <c r="G4" i="13" a="1"/>
  <c r="E8" i="15" a="1"/>
  <c r="G9" i="13" a="1"/>
  <c r="G14" i="13" a="1"/>
  <c r="G12" i="13" a="1"/>
  <c r="G17" i="13" a="1"/>
  <c r="G5" i="13" a="1"/>
  <c r="G11" i="13" a="1"/>
  <c r="E10" i="15" a="1"/>
  <c r="G13" i="13" a="1"/>
  <c r="E9" i="15" a="1"/>
  <c r="G7" i="13" a="1"/>
  <c r="G16" i="13" a="1"/>
  <c r="G15" i="13" a="1"/>
  <c r="E8" i="15" l="1"/>
  <c r="F8" i="15"/>
  <c r="G17" i="13"/>
  <c r="H17" i="13"/>
  <c r="G9" i="13"/>
  <c r="H9" i="13"/>
  <c r="G15" i="13"/>
  <c r="H15" i="13"/>
  <c r="H8" i="13"/>
  <c r="G8" i="13"/>
  <c r="H4" i="13"/>
  <c r="G4" i="13"/>
  <c r="G16" i="13"/>
  <c r="H16" i="13"/>
  <c r="G13" i="13"/>
  <c r="H13" i="13"/>
  <c r="G11" i="13"/>
  <c r="H11" i="13"/>
  <c r="G10" i="13"/>
  <c r="H10" i="13"/>
  <c r="G6" i="13"/>
  <c r="H6" i="13"/>
  <c r="H14" i="13"/>
  <c r="G14" i="13"/>
  <c r="G12" i="13"/>
  <c r="H12" i="13"/>
  <c r="G7" i="13"/>
  <c r="H7" i="13"/>
  <c r="H5" i="13"/>
  <c r="G5" i="13"/>
  <c r="E9" i="15"/>
  <c r="F9" i="15"/>
  <c r="F10" i="15"/>
  <c r="E10" i="15"/>
  <c r="E11" i="15"/>
  <c r="F11" i="15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3" i="14"/>
  <c r="I42" i="14" a="1"/>
  <c r="I18" i="14" a="1"/>
  <c r="I73" i="14" a="1"/>
  <c r="I72" i="14" a="1"/>
  <c r="I10" i="14" a="1"/>
  <c r="I37" i="14" a="1"/>
  <c r="I68" i="14" a="1"/>
  <c r="I23" i="14" a="1"/>
  <c r="I29" i="14" a="1"/>
  <c r="I21" i="14" a="1"/>
  <c r="I66" i="14" a="1"/>
  <c r="I4" i="14" a="1"/>
  <c r="I35" i="14" a="1"/>
  <c r="I34" i="14" a="1"/>
  <c r="I30" i="14" a="1"/>
  <c r="I51" i="14" a="1"/>
  <c r="I69" i="14" a="1"/>
  <c r="I44" i="14" a="1"/>
  <c r="I50" i="14" a="1"/>
  <c r="I28" i="14" a="1"/>
  <c r="H9" i="15" a="1"/>
  <c r="I52" i="14" a="1"/>
  <c r="I12" i="14" a="1"/>
  <c r="I71" i="14" a="1"/>
  <c r="I9" i="14" a="1"/>
  <c r="I39" i="14" a="1"/>
  <c r="I56" i="14" a="1"/>
  <c r="H10" i="15" a="1"/>
  <c r="I55" i="14" a="1"/>
  <c r="I17" i="14" a="1"/>
  <c r="I26" i="14" a="1"/>
  <c r="I57" i="14" a="1"/>
  <c r="I31" i="14" a="1"/>
  <c r="I7" i="14" a="1"/>
  <c r="I13" i="14" a="1"/>
  <c r="I38" i="14" a="1"/>
  <c r="I60" i="14" a="1"/>
  <c r="I36" i="14" a="1"/>
  <c r="I46" i="14" a="1"/>
  <c r="I65" i="14" a="1"/>
  <c r="I27" i="14" a="1"/>
  <c r="I5" i="14" a="1"/>
  <c r="I8" i="14" a="1"/>
  <c r="I11" i="14" a="1"/>
  <c r="I25" i="14" a="1"/>
  <c r="I64" i="14" a="1"/>
  <c r="I15" i="14" a="1"/>
  <c r="I45" i="14" a="1"/>
  <c r="I62" i="14" a="1"/>
  <c r="I58" i="14" a="1"/>
  <c r="I70" i="14" a="1"/>
  <c r="I59" i="14" a="1"/>
  <c r="I41" i="14" a="1"/>
  <c r="I63" i="14" a="1"/>
  <c r="I75" i="14" a="1"/>
  <c r="I14" i="14" a="1"/>
  <c r="I49" i="14" a="1"/>
  <c r="I74" i="14" a="1"/>
  <c r="H11" i="15" a="1"/>
  <c r="I61" i="14" a="1"/>
  <c r="I20" i="14" a="1"/>
  <c r="I16" i="14" a="1"/>
  <c r="I22" i="14" a="1"/>
  <c r="I54" i="14" a="1"/>
  <c r="I43" i="14" a="1"/>
  <c r="H8" i="15" a="1"/>
  <c r="I19" i="14" a="1"/>
  <c r="I47" i="14" a="1"/>
  <c r="I6" i="14" a="1"/>
  <c r="I48" i="14" a="1"/>
  <c r="I67" i="14" a="1"/>
  <c r="I33" i="14" a="1"/>
  <c r="I53" i="14" a="1"/>
  <c r="I3" i="14" a="1"/>
  <c r="I24" i="14" a="1"/>
  <c r="I40" i="14" a="1"/>
  <c r="I32" i="14" a="1"/>
  <c r="J13" i="14" l="1"/>
  <c r="I13" i="14"/>
  <c r="I52" i="14"/>
  <c r="J52" i="14"/>
  <c r="I51" i="14"/>
  <c r="J51" i="14"/>
  <c r="J50" i="14"/>
  <c r="I50" i="14"/>
  <c r="J49" i="14"/>
  <c r="I49" i="14"/>
  <c r="I32" i="14"/>
  <c r="J32" i="14"/>
  <c r="I47" i="14"/>
  <c r="J47" i="14"/>
  <c r="I46" i="14"/>
  <c r="J46" i="14"/>
  <c r="I3" i="14"/>
  <c r="J3" i="14"/>
  <c r="J60" i="14"/>
  <c r="I60" i="14"/>
  <c r="J44" i="14"/>
  <c r="I44" i="14"/>
  <c r="I28" i="14"/>
  <c r="J28" i="14"/>
  <c r="J12" i="14"/>
  <c r="I12" i="14"/>
  <c r="J11" i="14"/>
  <c r="I11" i="14"/>
  <c r="J10" i="14"/>
  <c r="I10" i="14"/>
  <c r="J9" i="14"/>
  <c r="I9" i="14"/>
  <c r="J68" i="14"/>
  <c r="I68" i="14"/>
  <c r="J67" i="14"/>
  <c r="I67" i="14"/>
  <c r="I66" i="14"/>
  <c r="J66" i="14"/>
  <c r="I33" i="14"/>
  <c r="J33" i="14"/>
  <c r="I48" i="14"/>
  <c r="J48" i="14"/>
  <c r="I63" i="14"/>
  <c r="J63" i="14"/>
  <c r="J62" i="14"/>
  <c r="I62" i="14"/>
  <c r="J45" i="14"/>
  <c r="I45" i="14"/>
  <c r="I75" i="14"/>
  <c r="J75" i="14"/>
  <c r="I43" i="14"/>
  <c r="J43" i="14"/>
  <c r="I74" i="14"/>
  <c r="J74" i="14"/>
  <c r="J26" i="14"/>
  <c r="I26" i="14"/>
  <c r="I73" i="14"/>
  <c r="J73" i="14"/>
  <c r="I57" i="14"/>
  <c r="J57" i="14"/>
  <c r="I41" i="14"/>
  <c r="J41" i="14"/>
  <c r="J25" i="14"/>
  <c r="I25" i="14"/>
  <c r="J72" i="14"/>
  <c r="I72" i="14"/>
  <c r="I56" i="14"/>
  <c r="J56" i="14"/>
  <c r="J40" i="14"/>
  <c r="I40" i="14"/>
  <c r="J24" i="14"/>
  <c r="I24" i="14"/>
  <c r="J8" i="14"/>
  <c r="I8" i="14"/>
  <c r="I20" i="14"/>
  <c r="J20" i="14"/>
  <c r="J7" i="14"/>
  <c r="I7" i="14"/>
  <c r="J6" i="14"/>
  <c r="I6" i="14"/>
  <c r="I36" i="14"/>
  <c r="J36" i="14"/>
  <c r="I35" i="14"/>
  <c r="J35" i="14"/>
  <c r="I34" i="14"/>
  <c r="J34" i="14"/>
  <c r="I65" i="14"/>
  <c r="J65" i="14"/>
  <c r="J64" i="14"/>
  <c r="I64" i="14"/>
  <c r="I31" i="14"/>
  <c r="J31" i="14"/>
  <c r="I30" i="14"/>
  <c r="J30" i="14"/>
  <c r="I61" i="14"/>
  <c r="J61" i="14"/>
  <c r="J29" i="14"/>
  <c r="I29" i="14"/>
  <c r="I59" i="14"/>
  <c r="J59" i="14"/>
  <c r="I27" i="14"/>
  <c r="J27" i="14"/>
  <c r="I58" i="14"/>
  <c r="J58" i="14"/>
  <c r="J42" i="14"/>
  <c r="I42" i="14"/>
  <c r="I71" i="14"/>
  <c r="J71" i="14"/>
  <c r="I55" i="14"/>
  <c r="J55" i="14"/>
  <c r="J39" i="14"/>
  <c r="I39" i="14"/>
  <c r="I23" i="14"/>
  <c r="J23" i="14"/>
  <c r="I70" i="14"/>
  <c r="J70" i="14"/>
  <c r="I54" i="14"/>
  <c r="J54" i="14"/>
  <c r="I38" i="14"/>
  <c r="J38" i="14"/>
  <c r="I22" i="14"/>
  <c r="J22" i="14"/>
  <c r="J69" i="14"/>
  <c r="I69" i="14"/>
  <c r="I53" i="14"/>
  <c r="J53" i="14"/>
  <c r="I37" i="14"/>
  <c r="J37" i="14"/>
  <c r="I21" i="14"/>
  <c r="J21" i="14"/>
  <c r="I5" i="14"/>
  <c r="J5" i="14"/>
  <c r="I4" i="14"/>
  <c r="J4" i="14"/>
  <c r="I19" i="14"/>
  <c r="J19" i="14"/>
  <c r="I18" i="14"/>
  <c r="J18" i="14"/>
  <c r="I17" i="14"/>
  <c r="J17" i="14"/>
  <c r="I16" i="14"/>
  <c r="J16" i="14"/>
  <c r="I15" i="14"/>
  <c r="J15" i="14"/>
  <c r="J14" i="14"/>
  <c r="I14" i="14"/>
  <c r="H8" i="15"/>
  <c r="I8" i="15"/>
  <c r="H10" i="15"/>
  <c r="I10" i="15"/>
  <c r="I9" i="15"/>
  <c r="H9" i="15"/>
  <c r="H11" i="15"/>
  <c r="I11" i="15"/>
  <c r="I5" i="8"/>
  <c r="I6" i="8"/>
  <c r="I7" i="8"/>
  <c r="I4" i="8"/>
  <c r="H5" i="8"/>
  <c r="H6" i="8"/>
  <c r="H7" i="8"/>
  <c r="H4" i="8"/>
  <c r="D13" i="6" l="1"/>
  <c r="E13" i="6"/>
  <c r="D12" i="6"/>
  <c r="E12" i="6"/>
  <c r="D10" i="6"/>
  <c r="E10" i="6"/>
  <c r="D8" i="6"/>
  <c r="E8" i="6"/>
  <c r="D9" i="6"/>
  <c r="E9" i="6"/>
  <c r="D11" i="6"/>
  <c r="E11" i="6"/>
  <c r="D7" i="6"/>
  <c r="E7" i="6"/>
  <c r="D6" i="6"/>
  <c r="E6" i="6"/>
  <c r="D4" i="6"/>
  <c r="E4" i="6"/>
  <c r="D2" i="6"/>
  <c r="E2" i="6"/>
  <c r="D3" i="6"/>
  <c r="E3" i="6"/>
  <c r="D5" i="6"/>
  <c r="E5" i="6"/>
  <c r="D26" i="6"/>
  <c r="D14" i="6"/>
  <c r="D15" i="6"/>
  <c r="D17" i="6"/>
  <c r="D19" i="6"/>
  <c r="D21" i="6"/>
  <c r="D16" i="6"/>
  <c r="D18" i="6"/>
  <c r="D20" i="6"/>
  <c r="D22" i="6"/>
  <c r="D23" i="6"/>
  <c r="D24" i="6"/>
  <c r="D2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</author>
  </authors>
  <commentList>
    <comment ref="B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positive NORTH grid coordinate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positive EAST grid coordinate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positive NORTH grid coordinate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9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positive EAST grid coordinate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<sst xmlns="http://schemas.openxmlformats.org/spreadsheetml/2006/main" count="568" uniqueCount="183">
  <si>
    <t>x</t>
  </si>
  <si>
    <t>y</t>
  </si>
  <si>
    <t>latitude</t>
  </si>
  <si>
    <t>longitude</t>
  </si>
  <si>
    <t>TO</t>
  </si>
  <si>
    <t>projection:</t>
  </si>
  <si>
    <t>projection</t>
  </si>
  <si>
    <t>false_northing</t>
  </si>
  <si>
    <t>false_easting</t>
  </si>
  <si>
    <t>GRS 1980</t>
  </si>
  <si>
    <t>sweref_99_2315</t>
  </si>
  <si>
    <t>sweref_99_2145</t>
  </si>
  <si>
    <t>sweref_99_2015</t>
  </si>
  <si>
    <t>sweref_99_1845</t>
  </si>
  <si>
    <t>sweref_99_1715</t>
  </si>
  <si>
    <t>sweref_99_1545</t>
  </si>
  <si>
    <t>sweref_99_1415</t>
  </si>
  <si>
    <t>sweref_99_1800</t>
  </si>
  <si>
    <t>sweref_99_1630</t>
  </si>
  <si>
    <t>sweref_99_1500</t>
  </si>
  <si>
    <t>sweref_99_1330</t>
  </si>
  <si>
    <t>sweref_99_1200</t>
  </si>
  <si>
    <t>sweref_99_tm</t>
  </si>
  <si>
    <t>Bessel 1841</t>
  </si>
  <si>
    <t>bessel_rt_90_5_gon_o</t>
  </si>
  <si>
    <t>bessel_rt_90_2.5_gon_o</t>
  </si>
  <si>
    <t>bessel_rt_90_0_gon_v</t>
  </si>
  <si>
    <t>bessel_rt_90_2.5_gon_v</t>
  </si>
  <si>
    <t>bessel_rt_90_5_gon_v</t>
  </si>
  <si>
    <t>bessel_rt_90_7.5_gon_v</t>
  </si>
  <si>
    <t>rt_90_5_gon_o</t>
  </si>
  <si>
    <t>rt_90_2.5_gon_o</t>
  </si>
  <si>
    <t>rt_90_0_gon_v</t>
  </si>
  <si>
    <t>rt_90_2.5_gon_v</t>
  </si>
  <si>
    <t>rt_90_5_gon_v</t>
  </si>
  <si>
    <t>rt_90_7.5_gon_v</t>
  </si>
  <si>
    <t>scale</t>
  </si>
  <si>
    <t>lat_of_origin</t>
  </si>
  <si>
    <t>central_meridian</t>
  </si>
  <si>
    <t>flattening</t>
  </si>
  <si>
    <t>axis</t>
  </si>
  <si>
    <t>ellipsoid</t>
  </si>
  <si>
    <t>001</t>
  </si>
  <si>
    <t>002</t>
  </si>
  <si>
    <t>003</t>
  </si>
  <si>
    <t>004</t>
  </si>
  <si>
    <t>D</t>
  </si>
  <si>
    <t>M</t>
  </si>
  <si>
    <t>S</t>
  </si>
  <si>
    <t>DD</t>
  </si>
  <si>
    <t>RT90 2.5 gon V</t>
  </si>
  <si>
    <t>SWEREF99 TM</t>
  </si>
  <si>
    <t>Northing</t>
  </si>
  <si>
    <t>Easting</t>
  </si>
  <si>
    <t>Lat/Long SWEREF99</t>
  </si>
  <si>
    <t>Latitude</t>
  </si>
  <si>
    <t>Longitude</t>
  </si>
  <si>
    <t>TO RT90 2.5 gon V</t>
  </si>
  <si>
    <t>FROM SWEREF 99 TM</t>
  </si>
  <si>
    <t>FROM RT90 2.5 gon V</t>
  </si>
  <si>
    <t>TO SWEREF 99 TM</t>
  </si>
  <si>
    <t>Transformera koordinater RT90 2.5 gon V &lt;-&gt; SWEREF 99 TM</t>
  </si>
  <si>
    <t>Funktionerna demonstreras på bladet Exempel, där fyra kontrollpunkter transformeras mellan olika koordinatsystem.</t>
  </si>
  <si>
    <t>Kontrollpunkterna redovisas på Lantmäteriets hemsida:</t>
  </si>
  <si>
    <t>Excel-funktioner skrivna av Peter Hellström</t>
  </si>
  <si>
    <t>Att använda funktionerna:</t>
  </si>
  <si>
    <t>Funktionerna är s.k. array-funktioner, dvs. resultatet redovisas i mer än en cell i kalkylbladet.</t>
  </si>
  <si>
    <t>Tillvägagångssättet vid användandet av array-funktionerna är lite annorlunda jämfört med "vanliga" Excel-funktioner.</t>
  </si>
  <si>
    <t>För att transformera till SWEREF 99 TM, använd funktionen RT90toSWEREF99</t>
  </si>
  <si>
    <t>Nord-sydkoordinat (kallas förvirrande nog X i Rikets nät…) ==&gt;</t>
  </si>
  <si>
    <t>&lt;== Ost-västkoordinat (Y):</t>
  </si>
  <si>
    <t>Transformerade koordinater</t>
  </si>
  <si>
    <t>Northing är Nord-sydkoordinat, Easting=öst-västkoordinat</t>
  </si>
  <si>
    <t>OBS! Beträffande transformering till latitud &amp; longitud: formlerna ger lat/long koordinater i SWEREF 99 TM, vilka dock i praktiken är identiska med Lat/Long i WGS 84.</t>
  </si>
  <si>
    <t>&lt;== Testa här</t>
  </si>
  <si>
    <t>Se bladet Exempel för fler exempel på möjliga transformationer.</t>
  </si>
  <si>
    <t>OBS! Funktionerna fungerar enbart för horisontella markeringar (dvs. markera alltid flera kolumner, inte flera rader!)</t>
  </si>
  <si>
    <t>3) För att utföra transformationen, håll ner Ctrl + Shift och tryck ENTER (genom att göra detta talar du om för Excel att du använder en array-funktion)</t>
  </si>
  <si>
    <t>Detta illustreras med följande exempel, transformering av RT90 2.5 gon V till SWEREF99 TM:</t>
  </si>
  <si>
    <t>Med Latitud och Longitud avses koordinater i decimalgrader (dvs. ej grader, minuter, sekunder)</t>
  </si>
  <si>
    <t>&lt;== konverterar lat/Long i decimalgrader till grader, minuter, sekunder</t>
  </si>
  <si>
    <t>Install this Add-in to Microsoft Excel by follow this instruction</t>
  </si>
  <si>
    <t xml:space="preserve">   1 Go to Excel Options &gt; Add-Ins to open the Add-Ins dialog</t>
  </si>
  <si>
    <t xml:space="preserve">   2 In this dialog, go to Manage Excel Add-ins &gt; click Go...</t>
  </si>
  <si>
    <t xml:space="preserve">   3 Browse to your Add-in, Click &gt; OK</t>
  </si>
  <si>
    <t xml:space="preserve">   4 Back to Add-Ins dialog &gt; OK</t>
  </si>
  <si>
    <t xml:space="preserve">   5 Excel Add-in is already installed to Microsoft Excel with the command bar to run macros in this Add-in</t>
  </si>
  <si>
    <t>0 Save as Excel-Add on (*.xlam)</t>
  </si>
  <si>
    <t>Transformationen mellan koordinatsystemen görs med en s.k. direktprojektion (rekommenderad av Lantmäteriet), för mer info se:</t>
  </si>
  <si>
    <t>Funktionerna i detta dokument baseras på följande formler (Gauss Conformal Projection):</t>
  </si>
  <si>
    <t>2) Skriv formeln i de markerade cellerna:</t>
  </si>
  <si>
    <t>DDtoDMS(Latitude,Longitude)</t>
  </si>
  <si>
    <t>DMtoDD</t>
  </si>
  <si>
    <t>DMStoDD</t>
  </si>
  <si>
    <t>57°00'N</t>
  </si>
  <si>
    <t>11°15'E</t>
  </si>
  <si>
    <t>59°00'N</t>
  </si>
  <si>
    <t>12°45'E</t>
  </si>
  <si>
    <t>55°00'N</t>
  </si>
  <si>
    <t>61°00'N</t>
  </si>
  <si>
    <t>63°00'N</t>
  </si>
  <si>
    <t>14°15'E</t>
  </si>
  <si>
    <t>12°00'E</t>
  </si>
  <si>
    <t>65°00'N</t>
  </si>
  <si>
    <t>13°30'E</t>
  </si>
  <si>
    <t>15°00'E</t>
  </si>
  <si>
    <t>15°45'E</t>
  </si>
  <si>
    <t>67°00'N</t>
  </si>
  <si>
    <t>16°30'E</t>
  </si>
  <si>
    <t>17°15'E</t>
  </si>
  <si>
    <t>18°00'E</t>
  </si>
  <si>
    <t>18°45'E</t>
  </si>
  <si>
    <t>19°30'E</t>
  </si>
  <si>
    <t>69°00'N</t>
  </si>
  <si>
    <t>21°00'E</t>
  </si>
  <si>
    <t>22°30'E</t>
  </si>
  <si>
    <t>24°00'E</t>
  </si>
  <si>
    <t>21°45'E</t>
  </si>
  <si>
    <t>Senast uppdaterat 2025-04-08</t>
  </si>
  <si>
    <t>Svenska transformationssamband i PROJ</t>
  </si>
  <si>
    <t>Kontrollpunkter för lokala SWEREF99-zoner</t>
  </si>
  <si>
    <t>Kontrollpunkter för SWEREF99 TM</t>
  </si>
  <si>
    <t>Kontrollpunkter direkttransformation</t>
  </si>
  <si>
    <t>Formler direkttransformation (Gauss Conformal Projection)</t>
  </si>
  <si>
    <t>SWEREF99-projektioner</t>
  </si>
  <si>
    <t>Transformationer RT90 &lt;-&gt; SWEREF99</t>
  </si>
  <si>
    <t>=RT90toSWEREF99(G42;H42)</t>
  </si>
  <si>
    <t>1) Markera cellerna G43:H43</t>
  </si>
  <si>
    <t>EPSG</t>
  </si>
  <si>
    <r>
      <t>=transform_grid_to_grid(</t>
    </r>
    <r>
      <rPr>
        <i/>
        <sz val="11"/>
        <color theme="1"/>
        <rFont val="Calibri"/>
        <family val="2"/>
        <scheme val="minor"/>
      </rPr>
      <t>Northing;Easting;3847;3006</t>
    </r>
    <r>
      <rPr>
        <sz val="11"/>
        <color theme="1"/>
        <rFont val="Calibri"/>
        <family val="2"/>
        <scheme val="minor"/>
      </rPr>
      <t>)</t>
    </r>
  </si>
  <si>
    <r>
      <t>=transform_grid_to_grid(</t>
    </r>
    <r>
      <rPr>
        <i/>
        <sz val="11"/>
        <color theme="1"/>
        <rFont val="Calibri"/>
        <family val="2"/>
        <scheme val="minor"/>
      </rPr>
      <t>Northing;Easting;3006;3847</t>
    </r>
    <r>
      <rPr>
        <sz val="11"/>
        <color theme="1"/>
        <rFont val="Calibri"/>
        <family val="2"/>
        <scheme val="minor"/>
      </rPr>
      <t>)</t>
    </r>
  </si>
  <si>
    <r>
      <t>=transform_geodetic_to_grid(</t>
    </r>
    <r>
      <rPr>
        <i/>
        <sz val="11"/>
        <color theme="1"/>
        <rFont val="Calibri"/>
        <family val="2"/>
        <scheme val="minor"/>
      </rPr>
      <t>Latitude;Longitude;3006</t>
    </r>
    <r>
      <rPr>
        <sz val="11"/>
        <color theme="1"/>
        <rFont val="Calibri"/>
        <family val="2"/>
        <scheme val="minor"/>
      </rPr>
      <t>)</t>
    </r>
  </si>
  <si>
    <r>
      <t>=transform_grid_to_geodetic(</t>
    </r>
    <r>
      <rPr>
        <i/>
        <sz val="11"/>
        <color theme="1"/>
        <rFont val="Calibri"/>
        <family val="2"/>
        <scheme val="minor"/>
      </rPr>
      <t>Northing;Easting;3006</t>
    </r>
    <r>
      <rPr>
        <sz val="11"/>
        <color theme="1"/>
        <rFont val="Calibri"/>
        <family val="2"/>
        <scheme val="minor"/>
      </rPr>
      <t>)</t>
    </r>
  </si>
  <si>
    <r>
      <t>=transform_grid_to_geodetic(</t>
    </r>
    <r>
      <rPr>
        <i/>
        <sz val="11"/>
        <color theme="1"/>
        <rFont val="Calibri"/>
        <family val="2"/>
        <scheme val="minor"/>
      </rPr>
      <t>Northing;Easting;3847</t>
    </r>
    <r>
      <rPr>
        <sz val="11"/>
        <color theme="1"/>
        <rFont val="Calibri"/>
        <family val="2"/>
        <scheme val="minor"/>
      </rPr>
      <t>)</t>
    </r>
  </si>
  <si>
    <r>
      <t>=transform_geodetic_to_grid(</t>
    </r>
    <r>
      <rPr>
        <i/>
        <sz val="11"/>
        <color theme="1"/>
        <rFont val="Calibri"/>
        <family val="2"/>
        <scheme val="minor"/>
      </rPr>
      <t>Latitude;Longitude;3847</t>
    </r>
    <r>
      <rPr>
        <sz val="11"/>
        <color theme="1"/>
        <rFont val="Calibri"/>
        <family val="2"/>
        <scheme val="minor"/>
      </rPr>
      <t>)</t>
    </r>
  </si>
  <si>
    <t>Tillgängliga funktioner (med nödvändiga argument inom parenteser):</t>
  </si>
  <si>
    <t>transform_grid_to_geodetic(northing, easting, crs)</t>
  </si>
  <si>
    <t>transform_geodetic_to_grid(Latitude, Longitude, crs)</t>
  </si>
  <si>
    <t>transform_grid_to_grid(northing, easting, crs_from, crs_to)</t>
  </si>
  <si>
    <t>A</t>
  </si>
  <si>
    <t>B</t>
  </si>
  <si>
    <t>C</t>
  </si>
  <si>
    <t>SWEREF99 18 00</t>
  </si>
  <si>
    <r>
      <t>=transform_grid_to_grid(</t>
    </r>
    <r>
      <rPr>
        <i/>
        <sz val="11"/>
        <color theme="1"/>
        <rFont val="Calibri"/>
        <family val="2"/>
        <scheme val="minor"/>
      </rPr>
      <t>Northing;Easting;3006;3011</t>
    </r>
    <r>
      <rPr>
        <sz val="11"/>
        <color theme="1"/>
        <rFont val="Calibri"/>
        <family val="2"/>
        <scheme val="minor"/>
      </rPr>
      <t>)</t>
    </r>
  </si>
  <si>
    <t>Bessel RT90 0 gon V</t>
  </si>
  <si>
    <t>Bessel RT90 2.5 gon O</t>
  </si>
  <si>
    <t>Bessel RT90 2.5 gon V</t>
  </si>
  <si>
    <t>Bessel RT90 5 gon O</t>
  </si>
  <si>
    <t>Bessel RT90 5 gon V</t>
  </si>
  <si>
    <t>Bessel RT90 7.5 gon V</t>
  </si>
  <si>
    <t>RT90 0 gon V</t>
  </si>
  <si>
    <t>RT90 2.5 gon O</t>
  </si>
  <si>
    <t>RT90 5 gon O</t>
  </si>
  <si>
    <t>RT90 5 gon V</t>
  </si>
  <si>
    <t>RT90 7.5 gon V</t>
  </si>
  <si>
    <t>SWEREF99 12 00</t>
  </si>
  <si>
    <t>SWEREF99 13 30</t>
  </si>
  <si>
    <t>SWEREF99 14 15</t>
  </si>
  <si>
    <t>SWEREF99 15 00</t>
  </si>
  <si>
    <t>SWEREF99 15 45</t>
  </si>
  <si>
    <t>SWEREF99 16 30</t>
  </si>
  <si>
    <t>SWEREF99 17 15</t>
  </si>
  <si>
    <t>SWEREF99 18 45</t>
  </si>
  <si>
    <t>SWEREF99 20 15</t>
  </si>
  <si>
    <t>SWEREF99 21 45</t>
  </si>
  <si>
    <t>SWEREF99 23 15</t>
  </si>
  <si>
    <t>URL1</t>
  </si>
  <si>
    <t>URL2</t>
  </si>
  <si>
    <t>Convert from:</t>
  </si>
  <si>
    <t>Convert to:</t>
  </si>
  <si>
    <t>Transform with custom VBA-functions:</t>
  </si>
  <si>
    <t>Control points</t>
  </si>
  <si>
    <t>Example</t>
  </si>
  <si>
    <t>EPSG-code</t>
  </si>
  <si>
    <t>srsid</t>
  </si>
  <si>
    <t>Local zone</t>
  </si>
  <si>
    <t>SWEREF99 (DM)</t>
  </si>
  <si>
    <t>SWEREF99</t>
  </si>
  <si>
    <t>SWEREF99 (DD)</t>
  </si>
  <si>
    <t>SWEREF99 Local Zone</t>
  </si>
  <si>
    <t>Control point</t>
  </si>
  <si>
    <t>crs_from</t>
  </si>
  <si>
    <t>crs_to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</si>
</sst>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0"/>
    <numFmt numFmtId="166" formatCode="0.00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9" fontId="0" fillId="0" borderId="0" xfId="0" applyNumberFormat="1"/>
    <xf numFmtId="49" fontId="0" fillId="0" borderId="6" xfId="0" applyNumberFormat="1" applyBorder="1"/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6" xfId="0" applyNumberFormat="1" applyBorder="1" applyAlignment="1">
      <alignment horizontal="center"/>
    </xf>
    <xf numFmtId="49" fontId="1" fillId="0" borderId="6" xfId="0" applyNumberFormat="1" applyFont="1" applyBorder="1"/>
    <xf numFmtId="0" fontId="5" fillId="0" borderId="0" xfId="0" applyFont="1"/>
    <xf numFmtId="164" fontId="0" fillId="0" borderId="7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0" xfId="0" quotePrefix="1"/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6" fillId="0" borderId="0" xfId="1"/>
    <xf numFmtId="0" fontId="7" fillId="0" borderId="0" xfId="1" applyFont="1"/>
    <xf numFmtId="0" fontId="8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0" fillId="8" borderId="7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9" fillId="0" borderId="0" xfId="0" applyFont="1"/>
    <xf numFmtId="164" fontId="0" fillId="0" borderId="0" xfId="0" applyNumberFormat="1"/>
    <xf numFmtId="164" fontId="0" fillId="0" borderId="1" xfId="0" applyNumberFormat="1" applyBorder="1"/>
    <xf numFmtId="0" fontId="0" fillId="0" borderId="6" xfId="0" applyBorder="1"/>
    <xf numFmtId="164" fontId="0" fillId="0" borderId="6" xfId="0" applyNumberFormat="1" applyBorder="1"/>
    <xf numFmtId="164" fontId="0" fillId="0" borderId="4" xfId="0" applyNumberFormat="1" applyBorder="1"/>
    <xf numFmtId="0" fontId="0" fillId="0" borderId="1" xfId="0" applyBorder="1"/>
    <xf numFmtId="166" fontId="0" fillId="0" borderId="0" xfId="0" applyNumberFormat="1"/>
    <xf numFmtId="0" fontId="1" fillId="0" borderId="6" xfId="0" applyFont="1" applyBorder="1"/>
    <xf numFmtId="0" fontId="1" fillId="0" borderId="4" xfId="0" applyFont="1" applyBorder="1"/>
    <xf numFmtId="0" fontId="0" fillId="0" borderId="4" xfId="0" applyBorder="1"/>
    <xf numFmtId="164" fontId="1" fillId="0" borderId="4" xfId="0" applyNumberFormat="1" applyFont="1" applyBorder="1"/>
    <xf numFmtId="164" fontId="1" fillId="0" borderId="6" xfId="0" applyNumberFormat="1" applyFont="1" applyBorder="1"/>
    <xf numFmtId="0" fontId="6" fillId="0" borderId="0" xfId="1" applyFill="1"/>
    <xf numFmtId="0" fontId="10" fillId="0" borderId="0" xfId="1" applyFont="1"/>
    <xf numFmtId="0" fontId="11" fillId="0" borderId="0" xfId="1" applyFont="1"/>
    <xf numFmtId="0" fontId="0" fillId="0" borderId="5" xfId="0" applyBorder="1"/>
    <xf numFmtId="0" fontId="1" fillId="0" borderId="1" xfId="0" applyFont="1" applyBorder="1"/>
    <xf numFmtId="0" fontId="6" fillId="0" borderId="6" xfId="1" applyBorder="1"/>
    <xf numFmtId="49" fontId="1" fillId="0" borderId="0" xfId="0" applyNumberFormat="1" applyFont="1"/>
    <xf numFmtId="164" fontId="1" fillId="0" borderId="0" xfId="0" applyNumberFormat="1" applyFont="1"/>
    <xf numFmtId="164" fontId="1" fillId="6" borderId="3" xfId="0" applyNumberFormat="1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5" borderId="5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3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49" fontId="0" fillId="0" borderId="8" xfId="0" applyNumberFormat="1" applyBorder="1"/>
    <xf numFmtId="0" fontId="0" fillId="0" borderId="8" xfId="0" applyBorder="1"/>
    <xf numFmtId="0" fontId="0" fillId="0" borderId="7" xfId="0" applyBorder="1"/>
    <xf numFmtId="164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2">
    <cellStyle name="Hyperlänk" xfId="1" builtinId="8"/>
    <cellStyle name="Normal" xfId="0" builtinId="0"/>
  </cellStyles>
  <dxfs count="1">
    <dxf>
      <border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\projects\data\development\vba_modules\PH_CustomFunctions.xlam" TargetMode="External"/><Relationship Id="rId1" Type="http://schemas.openxmlformats.org/officeDocument/2006/relationships/externalLinkPath" Target="/projects/data/development/vba_modules/PH_CustomFunction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lad1"/>
      <sheetName val="Blad2"/>
      <sheetName val="Blad3"/>
    </sheetNames>
    <definedNames>
      <definedName name="geodetic_to_grid"/>
      <definedName name="grid_to_geodetic"/>
      <definedName name="transform_geodetic_to_grid"/>
      <definedName name="transform_grid_to_geodetic"/>
      <definedName name="transform_grid_to_gri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lantmateriet.se/contentassets/a7ddfc3b7821498da8b55cd3f71b5150/kontrollpunkter_sweref99proj.pdf" TargetMode="External"/><Relationship Id="rId7" Type="http://schemas.openxmlformats.org/officeDocument/2006/relationships/hyperlink" Target="https://www.lantmateriet.se/sv/geodata/gps-geodesi-och-swepos/Transformationer/RT-90---SWEREF-99/" TargetMode="External"/><Relationship Id="rId2" Type="http://schemas.openxmlformats.org/officeDocument/2006/relationships/hyperlink" Target="https://www.lantmateriet.se/contentassets/a7ddfc3b7821498da8b55cd3f71b5150/kontrollpunkter_sweref99tm.pdf" TargetMode="External"/><Relationship Id="rId1" Type="http://schemas.openxmlformats.org/officeDocument/2006/relationships/hyperlink" Target="https://www.lantmateriet.se/contentassets/0f296052c56d425bb180430084d491d9/kontrollpunkter.pdf" TargetMode="External"/><Relationship Id="rId6" Type="http://schemas.openxmlformats.org/officeDocument/2006/relationships/hyperlink" Target="https://www.lantmateriet.se/sv/geodata/gps-geodesi-och-swepos/Referenssystem/Tvadimensionella-system/SWEREF-99-projektioner/" TargetMode="External"/><Relationship Id="rId5" Type="http://schemas.openxmlformats.org/officeDocument/2006/relationships/hyperlink" Target="https://www.lantmateriet.se/globalassets/geodata/gps-och-geodetisk-matning/gauss_conformal_projection.pdf" TargetMode="External"/><Relationship Id="rId4" Type="http://schemas.openxmlformats.org/officeDocument/2006/relationships/hyperlink" Target="https://www.lantmateriet.se/globalassets/geodata/gps-och-geodetisk-matning/svenska-transformationer-i-proj-web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2"/>
  <dimension ref="A1:I60"/>
  <sheetViews>
    <sheetView workbookViewId="0">
      <selection activeCell="A15" sqref="A15"/>
    </sheetView>
  </sheetViews>
  <sheetFormatPr defaultRowHeight="15" x14ac:dyDescent="0.25"/>
  <sheetData>
    <row r="1" spans="1:1" ht="18.75" x14ac:dyDescent="0.3">
      <c r="A1" s="33" t="s">
        <v>61</v>
      </c>
    </row>
    <row r="2" spans="1:1" x14ac:dyDescent="0.25">
      <c r="A2" s="34" t="s">
        <v>64</v>
      </c>
    </row>
    <row r="3" spans="1:1" x14ac:dyDescent="0.25">
      <c r="A3" s="34" t="s">
        <v>118</v>
      </c>
    </row>
    <row r="5" spans="1:1" x14ac:dyDescent="0.25">
      <c r="A5" s="6" t="s">
        <v>88</v>
      </c>
    </row>
    <row r="6" spans="1:1" x14ac:dyDescent="0.25">
      <c r="A6" s="53" t="s">
        <v>124</v>
      </c>
    </row>
    <row r="7" spans="1:1" x14ac:dyDescent="0.25">
      <c r="A7" s="31" t="s">
        <v>125</v>
      </c>
    </row>
    <row r="8" spans="1:1" x14ac:dyDescent="0.25">
      <c r="A8" s="31"/>
    </row>
    <row r="9" spans="1:1" x14ac:dyDescent="0.25">
      <c r="A9" s="55" t="s">
        <v>62</v>
      </c>
    </row>
    <row r="10" spans="1:1" x14ac:dyDescent="0.25">
      <c r="A10" s="32"/>
    </row>
    <row r="11" spans="1:1" x14ac:dyDescent="0.25">
      <c r="A11" s="54" t="s">
        <v>63</v>
      </c>
    </row>
    <row r="12" spans="1:1" x14ac:dyDescent="0.25">
      <c r="A12" s="31" t="s">
        <v>122</v>
      </c>
    </row>
    <row r="13" spans="1:1" x14ac:dyDescent="0.25">
      <c r="A13" s="53" t="s">
        <v>121</v>
      </c>
    </row>
    <row r="14" spans="1:1" x14ac:dyDescent="0.25">
      <c r="A14" s="53" t="s">
        <v>120</v>
      </c>
    </row>
    <row r="15" spans="1:1" x14ac:dyDescent="0.25">
      <c r="A15" s="31" t="s">
        <v>119</v>
      </c>
    </row>
    <row r="16" spans="1:1" x14ac:dyDescent="0.25">
      <c r="A16" s="31"/>
    </row>
    <row r="17" spans="1:5" x14ac:dyDescent="0.25">
      <c r="A17" s="54" t="s">
        <v>89</v>
      </c>
    </row>
    <row r="18" spans="1:5" x14ac:dyDescent="0.25">
      <c r="A18" s="53" t="s">
        <v>123</v>
      </c>
    </row>
    <row r="20" spans="1:5" x14ac:dyDescent="0.25">
      <c r="A20" s="6" t="s">
        <v>135</v>
      </c>
    </row>
    <row r="21" spans="1:5" x14ac:dyDescent="0.25">
      <c r="A21" t="s">
        <v>137</v>
      </c>
    </row>
    <row r="22" spans="1:5" x14ac:dyDescent="0.25">
      <c r="A22" t="s">
        <v>136</v>
      </c>
    </row>
    <row r="23" spans="1:5" x14ac:dyDescent="0.25">
      <c r="A23" t="s">
        <v>138</v>
      </c>
    </row>
    <row r="27" spans="1:5" x14ac:dyDescent="0.25">
      <c r="A27" t="s">
        <v>91</v>
      </c>
      <c r="E27" t="s">
        <v>80</v>
      </c>
    </row>
    <row r="28" spans="1:5" x14ac:dyDescent="0.25">
      <c r="A28" t="s">
        <v>92</v>
      </c>
    </row>
    <row r="29" spans="1:5" x14ac:dyDescent="0.25">
      <c r="A29" t="s">
        <v>93</v>
      </c>
    </row>
    <row r="31" spans="1:5" x14ac:dyDescent="0.25">
      <c r="A31" t="s">
        <v>72</v>
      </c>
    </row>
    <row r="32" spans="1:5" x14ac:dyDescent="0.25">
      <c r="A32" t="s">
        <v>79</v>
      </c>
    </row>
    <row r="34" spans="1:9" x14ac:dyDescent="0.25">
      <c r="A34" t="s">
        <v>73</v>
      </c>
    </row>
    <row r="36" spans="1:9" x14ac:dyDescent="0.25">
      <c r="A36" s="6" t="s">
        <v>65</v>
      </c>
    </row>
    <row r="37" spans="1:9" x14ac:dyDescent="0.25">
      <c r="A37" t="s">
        <v>66</v>
      </c>
    </row>
    <row r="38" spans="1:9" x14ac:dyDescent="0.25">
      <c r="A38" t="s">
        <v>67</v>
      </c>
    </row>
    <row r="40" spans="1:9" x14ac:dyDescent="0.25">
      <c r="A40" s="40" t="s">
        <v>78</v>
      </c>
    </row>
    <row r="42" spans="1:9" x14ac:dyDescent="0.25">
      <c r="A42" t="s">
        <v>69</v>
      </c>
      <c r="G42" s="36">
        <v>6609680</v>
      </c>
      <c r="H42" s="37">
        <v>1541744</v>
      </c>
      <c r="I42" t="s">
        <v>70</v>
      </c>
    </row>
    <row r="43" spans="1:9" x14ac:dyDescent="0.25">
      <c r="F43" s="35" t="s">
        <v>71</v>
      </c>
      <c r="G43" s="38"/>
      <c r="H43" s="39"/>
      <c r="I43" s="6" t="s">
        <v>74</v>
      </c>
    </row>
    <row r="45" spans="1:9" x14ac:dyDescent="0.25">
      <c r="A45" t="s">
        <v>68</v>
      </c>
    </row>
    <row r="46" spans="1:9" x14ac:dyDescent="0.25">
      <c r="A46" t="s">
        <v>127</v>
      </c>
    </row>
    <row r="47" spans="1:9" x14ac:dyDescent="0.25">
      <c r="A47" t="s">
        <v>90</v>
      </c>
      <c r="E47" s="26" t="s">
        <v>126</v>
      </c>
    </row>
    <row r="48" spans="1:9" x14ac:dyDescent="0.25">
      <c r="A48" t="s">
        <v>77</v>
      </c>
    </row>
    <row r="50" spans="1:1" x14ac:dyDescent="0.25">
      <c r="A50" t="s">
        <v>76</v>
      </c>
    </row>
    <row r="52" spans="1:1" x14ac:dyDescent="0.25">
      <c r="A52" s="34" t="s">
        <v>75</v>
      </c>
    </row>
    <row r="54" spans="1:1" x14ac:dyDescent="0.25">
      <c r="A54" t="s">
        <v>81</v>
      </c>
    </row>
    <row r="55" spans="1:1" x14ac:dyDescent="0.25">
      <c r="A55" t="s">
        <v>87</v>
      </c>
    </row>
    <row r="56" spans="1:1" x14ac:dyDescent="0.25">
      <c r="A56" t="s">
        <v>82</v>
      </c>
    </row>
    <row r="57" spans="1:1" x14ac:dyDescent="0.25">
      <c r="A57" t="s">
        <v>83</v>
      </c>
    </row>
    <row r="58" spans="1:1" x14ac:dyDescent="0.25">
      <c r="A58" t="s">
        <v>84</v>
      </c>
    </row>
    <row r="59" spans="1:1" x14ac:dyDescent="0.25">
      <c r="A59" t="s">
        <v>85</v>
      </c>
    </row>
    <row r="60" spans="1:1" x14ac:dyDescent="0.25">
      <c r="A60" t="s">
        <v>86</v>
      </c>
    </row>
  </sheetData>
  <hyperlinks>
    <hyperlink ref="A12" r:id="rId1" xr:uid="{8AFC434E-1D0D-49CE-9834-8A9C115AD0B6}"/>
    <hyperlink ref="A13" r:id="rId2" xr:uid="{362D596B-AB31-40D7-B214-F1D946719C10}"/>
    <hyperlink ref="A14" r:id="rId3" xr:uid="{ECF457C0-758E-437D-A68C-D03910C982A6}"/>
    <hyperlink ref="A15" r:id="rId4" xr:uid="{B224009B-469E-4745-A6FD-3E3BE933F940}"/>
    <hyperlink ref="A18" r:id="rId5" xr:uid="{0F982B84-27F3-41AB-86D6-D9C297EC38C6}"/>
    <hyperlink ref="A6" r:id="rId6" xr:uid="{0616C369-DA70-4445-9B2C-93020987F19C}"/>
    <hyperlink ref="A7" r:id="rId7" xr:uid="{E84655DB-C733-4A0D-821F-DEB1CD1272F7}"/>
  </hyperlinks>
  <pageMargins left="0.7" right="0.7" top="0.75" bottom="0.75" header="0.3" footer="0.3"/>
  <pageSetup paperSize="9"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G49"/>
  <sheetViews>
    <sheetView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A46" sqref="A46"/>
    </sheetView>
  </sheetViews>
  <sheetFormatPr defaultRowHeight="15" x14ac:dyDescent="0.25"/>
  <cols>
    <col min="1" max="1" width="13.42578125" style="11" bestFit="1" customWidth="1"/>
    <col min="2" max="2" width="12.7109375" style="15" customWidth="1"/>
    <col min="3" max="3" width="12.7109375" style="20" customWidth="1"/>
    <col min="4" max="4" width="12.7109375" style="15" customWidth="1"/>
    <col min="5" max="5" width="12.7109375" style="16" customWidth="1"/>
    <col min="6" max="6" width="18.85546875" bestFit="1" customWidth="1"/>
    <col min="7" max="7" width="17" bestFit="1" customWidth="1"/>
  </cols>
  <sheetData>
    <row r="1" spans="1:7" x14ac:dyDescent="0.25">
      <c r="B1" s="63" t="s">
        <v>168</v>
      </c>
      <c r="C1" s="64"/>
      <c r="D1" s="63" t="s">
        <v>169</v>
      </c>
      <c r="E1" s="64"/>
      <c r="F1" s="23" t="s">
        <v>170</v>
      </c>
    </row>
    <row r="2" spans="1:7" x14ac:dyDescent="0.25">
      <c r="B2" s="61" t="s">
        <v>50</v>
      </c>
      <c r="C2" s="61"/>
      <c r="D2" s="62" t="s">
        <v>51</v>
      </c>
      <c r="E2" s="62"/>
      <c r="F2" s="26" t="s">
        <v>129</v>
      </c>
    </row>
    <row r="3" spans="1:7" x14ac:dyDescent="0.25">
      <c r="A3" s="22" t="s">
        <v>171</v>
      </c>
      <c r="B3" s="13" t="s">
        <v>52</v>
      </c>
      <c r="C3" s="21" t="s">
        <v>53</v>
      </c>
      <c r="D3" s="13" t="s">
        <v>52</v>
      </c>
      <c r="E3" s="14" t="s">
        <v>53</v>
      </c>
    </row>
    <row r="4" spans="1:7" x14ac:dyDescent="0.25">
      <c r="A4" s="11" t="s">
        <v>42</v>
      </c>
      <c r="B4" s="15">
        <v>7453389.7620000001</v>
      </c>
      <c r="C4" s="20">
        <v>1727060.905</v>
      </c>
      <c r="D4" s="15">
        <v>7454204.6383341439</v>
      </c>
      <c r="E4" s="16">
        <v>761811.24249609094</v>
      </c>
      <c r="F4">
        <f t="array" ref="F4:G4">[1]!transform_grid_to_grid(B4,C4,3847,3006)</f>
        <v>7454204.6383341439</v>
      </c>
      <c r="G4">
        <v>761811.24249609106</v>
      </c>
    </row>
    <row r="5" spans="1:7" x14ac:dyDescent="0.25">
      <c r="A5" s="11" t="s">
        <v>43</v>
      </c>
      <c r="B5" s="15">
        <v>7047738.415</v>
      </c>
      <c r="C5" s="20">
        <v>1522128.6370000001</v>
      </c>
      <c r="D5" s="15">
        <v>7046077.6053922512</v>
      </c>
      <c r="E5" s="16">
        <v>562140.33717804099</v>
      </c>
      <c r="F5">
        <f t="array" ref="F5:G5">[1]!transform_grid_to_grid(B5,C5,3847,3006)</f>
        <v>7046077.6053922521</v>
      </c>
      <c r="G5">
        <v>562140.33717804099</v>
      </c>
    </row>
    <row r="6" spans="1:7" x14ac:dyDescent="0.25">
      <c r="A6" s="11" t="s">
        <v>44</v>
      </c>
      <c r="B6" s="15">
        <v>6671665.273</v>
      </c>
      <c r="C6" s="20">
        <v>1441843.186</v>
      </c>
      <c r="D6" s="15">
        <v>6669189.3762500994</v>
      </c>
      <c r="E6" s="16">
        <v>486557.05473698117</v>
      </c>
      <c r="F6">
        <f t="array" ref="F6:G6">[1]!transform_grid_to_grid(B6,C6,3847,3006)</f>
        <v>6669189.3762501003</v>
      </c>
      <c r="G6">
        <v>486557.05473698187</v>
      </c>
    </row>
    <row r="7" spans="1:7" x14ac:dyDescent="0.25">
      <c r="A7" s="11" t="s">
        <v>45</v>
      </c>
      <c r="B7" s="15">
        <v>6249111.3509999998</v>
      </c>
      <c r="C7" s="20">
        <v>1380573.0789999999</v>
      </c>
      <c r="D7" s="15">
        <v>6246136.4576177467</v>
      </c>
      <c r="E7" s="16">
        <v>430374.8351956525</v>
      </c>
      <c r="F7">
        <f t="array" ref="F7:G7">[1]!transform_grid_to_grid(B7,C7,3847,3006)</f>
        <v>6246136.4576177476</v>
      </c>
      <c r="G7">
        <v>430374.8351956525</v>
      </c>
    </row>
    <row r="9" spans="1:7" x14ac:dyDescent="0.25">
      <c r="B9" s="61" t="s">
        <v>51</v>
      </c>
      <c r="C9" s="61"/>
      <c r="D9" s="62" t="s">
        <v>50</v>
      </c>
      <c r="E9" s="62"/>
      <c r="F9" s="26" t="s">
        <v>130</v>
      </c>
    </row>
    <row r="10" spans="1:7" x14ac:dyDescent="0.25">
      <c r="B10" s="24" t="s">
        <v>52</v>
      </c>
      <c r="C10" s="25" t="s">
        <v>53</v>
      </c>
      <c r="D10" s="24" t="s">
        <v>52</v>
      </c>
      <c r="E10" s="25" t="s">
        <v>53</v>
      </c>
      <c r="F10" s="26"/>
      <c r="G10" s="26"/>
    </row>
    <row r="11" spans="1:7" x14ac:dyDescent="0.25">
      <c r="A11" s="11" t="s">
        <v>42</v>
      </c>
      <c r="B11" s="15">
        <v>7454204.6380000003</v>
      </c>
      <c r="C11" s="20">
        <v>761811.24199999997</v>
      </c>
      <c r="D11" s="15">
        <v>7453389.7616848005</v>
      </c>
      <c r="E11" s="16">
        <v>1727060.9044983676</v>
      </c>
      <c r="F11">
        <f t="array" ref="F11:G11">[1]!transform_grid_to_grid(B11,C11,3006,3847)</f>
        <v>7453389.7616848024</v>
      </c>
      <c r="G11">
        <v>1727060.9044983676</v>
      </c>
    </row>
    <row r="12" spans="1:7" x14ac:dyDescent="0.25">
      <c r="A12" s="11" t="s">
        <v>43</v>
      </c>
      <c r="B12" s="15">
        <v>7046077.6050000004</v>
      </c>
      <c r="C12" s="20">
        <v>562140.33700000006</v>
      </c>
      <c r="D12" s="15">
        <v>7047738.4146194393</v>
      </c>
      <c r="E12" s="16">
        <v>1522128.6368168888</v>
      </c>
      <c r="F12">
        <f t="array" ref="F12:G12">[1]!transform_grid_to_grid(B12,C12,3006,3847)</f>
        <v>7047738.4146194402</v>
      </c>
      <c r="G12">
        <v>1522128.6368168888</v>
      </c>
    </row>
    <row r="13" spans="1:7" x14ac:dyDescent="0.25">
      <c r="A13" s="11" t="s">
        <v>44</v>
      </c>
      <c r="B13" s="15">
        <v>6669189.3760000002</v>
      </c>
      <c r="C13" s="20">
        <v>486557.05499999999</v>
      </c>
      <c r="D13" s="15">
        <v>6671665.2727532145</v>
      </c>
      <c r="E13" s="16">
        <v>1441843.1862601698</v>
      </c>
      <c r="F13">
        <f t="array" ref="F13:G13">[1]!transform_grid_to_grid(B13,C13,3006,3847)</f>
        <v>6671665.2727532154</v>
      </c>
      <c r="G13">
        <v>1441843.1862601698</v>
      </c>
    </row>
    <row r="14" spans="1:7" x14ac:dyDescent="0.25">
      <c r="A14" s="11" t="s">
        <v>45</v>
      </c>
      <c r="B14" s="15">
        <v>6246136.4579999996</v>
      </c>
      <c r="C14" s="20">
        <v>430374.83500000002</v>
      </c>
      <c r="D14" s="15">
        <v>6249111.3513887515</v>
      </c>
      <c r="E14" s="16">
        <v>1380573.0788088469</v>
      </c>
      <c r="F14">
        <f t="array" ref="F14:G14">[1]!transform_grid_to_grid(B14,C14,3006,3847)</f>
        <v>6249111.3513887525</v>
      </c>
      <c r="G14">
        <v>1380573.0788088469</v>
      </c>
    </row>
    <row r="16" spans="1:7" x14ac:dyDescent="0.25">
      <c r="B16" s="61" t="s">
        <v>54</v>
      </c>
      <c r="C16" s="61"/>
      <c r="D16" s="62" t="s">
        <v>51</v>
      </c>
      <c r="E16" s="62"/>
      <c r="F16" s="26" t="s">
        <v>131</v>
      </c>
    </row>
    <row r="17" spans="1:7" x14ac:dyDescent="0.25">
      <c r="B17" s="24" t="s">
        <v>55</v>
      </c>
      <c r="C17" s="25" t="s">
        <v>56</v>
      </c>
      <c r="D17" s="24" t="s">
        <v>52</v>
      </c>
      <c r="E17" s="25" t="s">
        <v>53</v>
      </c>
    </row>
    <row r="18" spans="1:7" x14ac:dyDescent="0.25">
      <c r="A18" s="11" t="s">
        <v>42</v>
      </c>
      <c r="B18" s="17">
        <v>67.090681324722212</v>
      </c>
      <c r="C18" s="19">
        <v>21.034750437500001</v>
      </c>
      <c r="D18" s="15">
        <v>7454204.6383465836</v>
      </c>
      <c r="E18" s="16">
        <v>761811.24249114771</v>
      </c>
      <c r="F18">
        <f t="array" ref="F18:G18">[1]!transform_geodetic_to_grid(B18,C18,3006)</f>
        <v>7454204.6383465845</v>
      </c>
      <c r="G18">
        <v>761811.24249114771</v>
      </c>
    </row>
    <row r="19" spans="1:7" x14ac:dyDescent="0.25">
      <c r="A19" s="11" t="s">
        <v>43</v>
      </c>
      <c r="B19" s="17">
        <v>63.537433815277772</v>
      </c>
      <c r="C19" s="19">
        <v>16.249887396111113</v>
      </c>
      <c r="D19" s="15">
        <v>7046077.6053831223</v>
      </c>
      <c r="E19" s="16">
        <v>562140.33717802388</v>
      </c>
      <c r="F19">
        <f t="array" ref="F19:G19">[1]!transform_geodetic_to_grid(B19,C19,3006)</f>
        <v>7046077.6053831233</v>
      </c>
      <c r="G19">
        <v>562140.337178024</v>
      </c>
    </row>
    <row r="20" spans="1:7" x14ac:dyDescent="0.25">
      <c r="A20" s="11" t="s">
        <v>44</v>
      </c>
      <c r="B20" s="17">
        <v>60.15941178138889</v>
      </c>
      <c r="C20" s="19">
        <v>14.75782420888889</v>
      </c>
      <c r="D20" s="15">
        <v>6669189.3762488579</v>
      </c>
      <c r="E20" s="16">
        <v>486557.05473121384</v>
      </c>
      <c r="F20">
        <f t="array" ref="F20:G20">[1]!transform_geodetic_to_grid(B20,C20,3006)</f>
        <v>6669189.3762488607</v>
      </c>
      <c r="G20">
        <v>486557.05473121384</v>
      </c>
    </row>
    <row r="21" spans="1:7" x14ac:dyDescent="0.25">
      <c r="A21" s="11" t="s">
        <v>45</v>
      </c>
      <c r="B21" s="17">
        <v>56.35477756805556</v>
      </c>
      <c r="C21" s="19">
        <v>13.873265006111112</v>
      </c>
      <c r="D21" s="15">
        <v>6246136.4576152842</v>
      </c>
      <c r="E21" s="16">
        <v>430374.83519721986</v>
      </c>
      <c r="F21">
        <f t="array" ref="F21:G21">[1]!transform_geodetic_to_grid(B21,C21,3006)</f>
        <v>6246136.4576152852</v>
      </c>
      <c r="G21">
        <v>430374.83519721986</v>
      </c>
    </row>
    <row r="23" spans="1:7" x14ac:dyDescent="0.25">
      <c r="B23" s="61" t="s">
        <v>54</v>
      </c>
      <c r="C23" s="61"/>
      <c r="D23" s="62" t="s">
        <v>50</v>
      </c>
      <c r="E23" s="62"/>
      <c r="F23" s="26" t="s">
        <v>134</v>
      </c>
    </row>
    <row r="24" spans="1:7" x14ac:dyDescent="0.25">
      <c r="B24" s="24" t="s">
        <v>55</v>
      </c>
      <c r="C24" s="25" t="s">
        <v>56</v>
      </c>
      <c r="D24" s="24" t="s">
        <v>52</v>
      </c>
      <c r="E24" s="25" t="s">
        <v>53</v>
      </c>
    </row>
    <row r="25" spans="1:7" x14ac:dyDescent="0.25">
      <c r="A25" s="11" t="s">
        <v>42</v>
      </c>
      <c r="B25" s="17">
        <v>67.090681324722212</v>
      </c>
      <c r="C25" s="19">
        <v>21.034750437500001</v>
      </c>
      <c r="D25" s="15">
        <v>7453389.7620187756</v>
      </c>
      <c r="E25" s="16">
        <v>1727060.9049946479</v>
      </c>
      <c r="F25">
        <f t="array" ref="F25:G25">[1]!transform_geodetic_to_grid(B25,C25,3847)</f>
        <v>7453389.7620187765</v>
      </c>
      <c r="G25">
        <v>1727060.9049946482</v>
      </c>
    </row>
    <row r="26" spans="1:7" x14ac:dyDescent="0.25">
      <c r="A26" s="11" t="s">
        <v>43</v>
      </c>
      <c r="B26" s="17">
        <v>63.537433815277772</v>
      </c>
      <c r="C26" s="19">
        <v>16.249887396111113</v>
      </c>
      <c r="D26" s="15">
        <v>7047738.4149956489</v>
      </c>
      <c r="E26" s="16">
        <v>1522128.6369998315</v>
      </c>
      <c r="F26">
        <f t="array" ref="F26:G26">[1]!transform_geodetic_to_grid(B26,C26,3847)</f>
        <v>7047738.4149956498</v>
      </c>
      <c r="G26">
        <v>1522128.6369998315</v>
      </c>
    </row>
    <row r="27" spans="1:7" x14ac:dyDescent="0.25">
      <c r="A27" s="11" t="s">
        <v>44</v>
      </c>
      <c r="B27" s="17">
        <v>60.15941178138889</v>
      </c>
      <c r="C27" s="19">
        <v>14.75782420888889</v>
      </c>
      <c r="D27" s="15">
        <v>6671665.2730021384</v>
      </c>
      <c r="E27" s="16">
        <v>1441843.1859942696</v>
      </c>
      <c r="F27">
        <f t="array" ref="F27:G27">[1]!transform_geodetic_to_grid(B27,C27,3847)</f>
        <v>6671665.2730021402</v>
      </c>
      <c r="G27">
        <v>1441843.1859942693</v>
      </c>
    </row>
    <row r="28" spans="1:7" x14ac:dyDescent="0.25">
      <c r="A28" s="11" t="s">
        <v>45</v>
      </c>
      <c r="B28" s="17">
        <v>56.35477756805556</v>
      </c>
      <c r="C28" s="19">
        <v>13.873265006111112</v>
      </c>
      <c r="D28" s="15">
        <v>6249111.3509995341</v>
      </c>
      <c r="E28" s="16">
        <v>1380573.0790015906</v>
      </c>
      <c r="F28">
        <f t="array" ref="F28:G28">[1]!transform_geodetic_to_grid(B28,C28,3847)</f>
        <v>6249111.350999536</v>
      </c>
      <c r="G28">
        <v>1380573.0790015906</v>
      </c>
    </row>
    <row r="30" spans="1:7" x14ac:dyDescent="0.25">
      <c r="B30" s="61" t="s">
        <v>51</v>
      </c>
      <c r="C30" s="61"/>
      <c r="D30" s="62" t="s">
        <v>54</v>
      </c>
      <c r="E30" s="62"/>
      <c r="F30" s="26" t="s">
        <v>132</v>
      </c>
    </row>
    <row r="31" spans="1:7" x14ac:dyDescent="0.25">
      <c r="B31" s="24" t="s">
        <v>52</v>
      </c>
      <c r="C31" s="25" t="s">
        <v>53</v>
      </c>
      <c r="D31" s="24" t="s">
        <v>55</v>
      </c>
      <c r="E31" s="25" t="s">
        <v>56</v>
      </c>
    </row>
    <row r="32" spans="1:7" x14ac:dyDescent="0.25">
      <c r="A32" s="11" t="s">
        <v>42</v>
      </c>
      <c r="B32" s="15">
        <v>7454204.6380000003</v>
      </c>
      <c r="C32" s="20">
        <v>761811.24199999997</v>
      </c>
      <c r="D32" s="17">
        <v>67.090681322113554</v>
      </c>
      <c r="E32" s="18">
        <v>21.034750425482557</v>
      </c>
      <c r="F32">
        <f t="array" ref="F32:G32">[1]!transform_grid_to_geodetic(B32,C32,3006)</f>
        <v>67.090681322113554</v>
      </c>
      <c r="G32">
        <v>21.034750425482557</v>
      </c>
    </row>
    <row r="33" spans="1:7" x14ac:dyDescent="0.25">
      <c r="A33" s="11" t="s">
        <v>43</v>
      </c>
      <c r="B33" s="15">
        <v>7046077.6050000004</v>
      </c>
      <c r="C33" s="20">
        <v>562140.33700000006</v>
      </c>
      <c r="D33" s="17">
        <v>63.537433811914283</v>
      </c>
      <c r="E33" s="18">
        <v>16.249887392380764</v>
      </c>
      <c r="F33">
        <f t="array" ref="F33:G33">[1]!transform_grid_to_geodetic(B33,C33,3006)</f>
        <v>63.537433811914269</v>
      </c>
      <c r="G33">
        <v>16.249887392380764</v>
      </c>
    </row>
    <row r="34" spans="1:7" x14ac:dyDescent="0.25">
      <c r="A34" s="11" t="s">
        <v>44</v>
      </c>
      <c r="B34" s="15">
        <v>6669189.3760000002</v>
      </c>
      <c r="C34" s="20">
        <v>486557.05499999999</v>
      </c>
      <c r="D34" s="17">
        <v>60.159411779192958</v>
      </c>
      <c r="E34" s="18">
        <v>14.757824213747503</v>
      </c>
      <c r="F34">
        <f t="array" ref="F34:G34">[1]!transform_grid_to_geodetic(B34,C34,3006)</f>
        <v>60.159411779192943</v>
      </c>
      <c r="G34">
        <v>14.757824213747503</v>
      </c>
    </row>
    <row r="35" spans="1:7" x14ac:dyDescent="0.25">
      <c r="A35" s="11" t="s">
        <v>45</v>
      </c>
      <c r="B35" s="15">
        <v>6246136.4579999996</v>
      </c>
      <c r="C35" s="20">
        <v>430374.83500000002</v>
      </c>
      <c r="D35" s="17">
        <v>56.354777571500435</v>
      </c>
      <c r="E35" s="18">
        <v>13.873265002818282</v>
      </c>
      <c r="F35">
        <f t="array" ref="F35:G35">[1]!transform_grid_to_geodetic(B35,C35,3006)</f>
        <v>56.354777571500435</v>
      </c>
      <c r="G35">
        <v>13.873265002818282</v>
      </c>
    </row>
    <row r="37" spans="1:7" x14ac:dyDescent="0.25">
      <c r="B37" s="61" t="s">
        <v>50</v>
      </c>
      <c r="C37" s="61"/>
      <c r="D37" s="62" t="s">
        <v>54</v>
      </c>
      <c r="E37" s="62"/>
      <c r="F37" s="26" t="s">
        <v>133</v>
      </c>
    </row>
    <row r="38" spans="1:7" x14ac:dyDescent="0.25">
      <c r="B38" s="24" t="s">
        <v>52</v>
      </c>
      <c r="C38" s="25" t="s">
        <v>53</v>
      </c>
      <c r="D38" s="24" t="s">
        <v>55</v>
      </c>
      <c r="E38" s="25" t="s">
        <v>56</v>
      </c>
    </row>
    <row r="39" spans="1:7" x14ac:dyDescent="0.25">
      <c r="A39" s="11" t="s">
        <v>42</v>
      </c>
      <c r="B39" s="15">
        <v>7453389.7620000001</v>
      </c>
      <c r="C39" s="20">
        <v>1727060.905</v>
      </c>
      <c r="D39" s="17">
        <v>67.090681324606948</v>
      </c>
      <c r="E39" s="18">
        <v>21.034750437585412</v>
      </c>
      <c r="F39">
        <f t="array" ref="F39:G39">[1]!transform_grid_to_geodetic(B39,C39,3847)</f>
        <v>67.090681324606933</v>
      </c>
      <c r="G39">
        <v>21.034750437585409</v>
      </c>
    </row>
    <row r="40" spans="1:7" x14ac:dyDescent="0.25">
      <c r="A40" s="11" t="s">
        <v>43</v>
      </c>
      <c r="B40" s="15">
        <v>7047738.415</v>
      </c>
      <c r="C40" s="20">
        <v>1522128.6370000001</v>
      </c>
      <c r="D40" s="17">
        <v>63.537433815359663</v>
      </c>
      <c r="E40" s="18">
        <v>16.249887396115053</v>
      </c>
      <c r="F40">
        <f t="array" ref="F40:G40">[1]!transform_grid_to_geodetic(B40,C40,3847)</f>
        <v>63.537433815359663</v>
      </c>
      <c r="G40">
        <v>16.249887396115049</v>
      </c>
    </row>
    <row r="41" spans="1:7" x14ac:dyDescent="0.25">
      <c r="A41" s="11" t="s">
        <v>44</v>
      </c>
      <c r="B41" s="15">
        <v>6671665.273</v>
      </c>
      <c r="C41" s="20">
        <v>1441843.186</v>
      </c>
      <c r="D41" s="17">
        <v>60.159411781400209</v>
      </c>
      <c r="E41" s="18">
        <v>14.757824208992716</v>
      </c>
      <c r="F41">
        <f t="array" ref="F41:G41">[1]!transform_grid_to_geodetic(B41,C41,3847)</f>
        <v>60.159411781400209</v>
      </c>
      <c r="G41">
        <v>14.757824208992719</v>
      </c>
    </row>
    <row r="42" spans="1:7" x14ac:dyDescent="0.25">
      <c r="A42" s="11" t="s">
        <v>45</v>
      </c>
      <c r="B42" s="15">
        <v>6249111.3509999998</v>
      </c>
      <c r="C42" s="20">
        <v>1380573.0789999999</v>
      </c>
      <c r="D42" s="17">
        <v>56.354777568077445</v>
      </c>
      <c r="E42" s="18">
        <v>13.873265006085113</v>
      </c>
      <c r="F42">
        <f t="array" ref="F42:G42">[1]!transform_grid_to_geodetic(B42,C42,3847)</f>
        <v>56.354777568077445</v>
      </c>
      <c r="G42">
        <v>13.873265006085113</v>
      </c>
    </row>
    <row r="44" spans="1:7" x14ac:dyDescent="0.25">
      <c r="B44" s="61" t="s">
        <v>51</v>
      </c>
      <c r="C44" s="61"/>
      <c r="D44" s="61" t="s">
        <v>142</v>
      </c>
      <c r="E44" s="61"/>
      <c r="F44" s="26" t="s">
        <v>143</v>
      </c>
    </row>
    <row r="45" spans="1:7" x14ac:dyDescent="0.25">
      <c r="A45" s="11" t="s">
        <v>172</v>
      </c>
      <c r="B45" s="13" t="s">
        <v>52</v>
      </c>
      <c r="C45" s="21" t="s">
        <v>53</v>
      </c>
      <c r="D45" s="13" t="s">
        <v>52</v>
      </c>
      <c r="E45" s="14" t="s">
        <v>53</v>
      </c>
      <c r="F45" s="26"/>
    </row>
    <row r="46" spans="1:7" x14ac:dyDescent="0.25">
      <c r="A46" s="11" t="s">
        <v>139</v>
      </c>
      <c r="B46" s="15">
        <v>6552755</v>
      </c>
      <c r="C46" s="20">
        <v>670631</v>
      </c>
      <c r="F46">
        <f t="array" ref="F46:G46">[1]!transform_grid_to_grid(B46,C46,3006,3011)</f>
        <v>6551571.0222603595</v>
      </c>
      <c r="G46">
        <v>148709.32603528458</v>
      </c>
    </row>
    <row r="47" spans="1:7" x14ac:dyDescent="0.25">
      <c r="A47" s="11" t="s">
        <v>140</v>
      </c>
      <c r="B47" s="15">
        <v>6567235</v>
      </c>
      <c r="C47" s="20">
        <v>710850</v>
      </c>
      <c r="F47">
        <f t="array" ref="F47:G47">[1]!transform_grid_to_grid(B47,C47,3006,3011)</f>
        <v>6564228.2216238556</v>
      </c>
      <c r="G47">
        <v>189536.79585732281</v>
      </c>
    </row>
    <row r="48" spans="1:7" x14ac:dyDescent="0.25">
      <c r="A48" s="11" t="s">
        <v>141</v>
      </c>
      <c r="B48" s="15">
        <v>6668123</v>
      </c>
      <c r="C48" s="20">
        <v>704837</v>
      </c>
      <c r="F48">
        <f t="array" ref="F48:G48">[1]!transform_grid_to_grid(B48,C48,3006,3011)</f>
        <v>6665273.6549485652</v>
      </c>
      <c r="G48">
        <v>188088.79488056636</v>
      </c>
    </row>
    <row r="49" spans="1:7" x14ac:dyDescent="0.25">
      <c r="A49" s="11" t="s">
        <v>46</v>
      </c>
      <c r="B49" s="15">
        <v>6700420</v>
      </c>
      <c r="C49" s="20">
        <v>689670</v>
      </c>
      <c r="F49">
        <f t="array" ref="F49:G49">[1]!transform_grid_to_grid(B49,C49,3006,3011)</f>
        <v>6698224.6039768253</v>
      </c>
      <c r="G49">
        <v>174406.55105093238</v>
      </c>
    </row>
  </sheetData>
  <mergeCells count="16">
    <mergeCell ref="B2:C2"/>
    <mergeCell ref="D2:E2"/>
    <mergeCell ref="B1:C1"/>
    <mergeCell ref="D1:E1"/>
    <mergeCell ref="B9:C9"/>
    <mergeCell ref="D9:E9"/>
    <mergeCell ref="B44:C44"/>
    <mergeCell ref="D44:E44"/>
    <mergeCell ref="B37:C37"/>
    <mergeCell ref="D37:E37"/>
    <mergeCell ref="B16:C16"/>
    <mergeCell ref="D16:E16"/>
    <mergeCell ref="B23:C23"/>
    <mergeCell ref="D23:E23"/>
    <mergeCell ref="B30:C30"/>
    <mergeCell ref="D30:E30"/>
  </mergeCells>
  <pageMargins left="0.7" right="0.7" top="0.75" bottom="0.75" header="0.3" footer="0.3"/>
  <pageSetup paperSize="9" orientation="portrait" r:id="rId1"/>
  <ignoredErrors>
    <ignoredError sqref="A39:A42 A4:A9 A11:A16 A18:A23 A25:A30 A32:A3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G13"/>
  <sheetViews>
    <sheetView workbookViewId="0">
      <pane ySplit="2" topLeftCell="A3" activePane="bottomLeft" state="frozenSplit"/>
      <selection pane="bottomLeft" activeCell="E10" sqref="E10"/>
    </sheetView>
  </sheetViews>
  <sheetFormatPr defaultRowHeight="15" x14ac:dyDescent="0.25"/>
  <cols>
    <col min="1" max="1" width="9.140625" style="11"/>
    <col min="2" max="2" width="19.28515625" style="2" customWidth="1"/>
    <col min="3" max="3" width="19.28515625" style="3" customWidth="1"/>
    <col min="4" max="4" width="19.28515625" style="1" customWidth="1"/>
    <col min="5" max="5" width="19.28515625" style="3" customWidth="1"/>
    <col min="6" max="6" width="19.28515625" style="20" customWidth="1"/>
    <col min="7" max="7" width="19.28515625" style="16" customWidth="1"/>
  </cols>
  <sheetData>
    <row r="1" spans="1:7" x14ac:dyDescent="0.25">
      <c r="B1" s="65" t="s">
        <v>58</v>
      </c>
      <c r="C1" s="65"/>
      <c r="D1" s="66" t="s">
        <v>57</v>
      </c>
      <c r="E1" s="66"/>
      <c r="F1" s="66"/>
      <c r="G1" s="66"/>
    </row>
    <row r="2" spans="1:7" x14ac:dyDescent="0.25">
      <c r="A2" s="12"/>
      <c r="B2" s="8" t="s">
        <v>0</v>
      </c>
      <c r="C2" s="9" t="s">
        <v>1</v>
      </c>
      <c r="D2" s="10" t="s">
        <v>2</v>
      </c>
      <c r="E2" s="9" t="s">
        <v>3</v>
      </c>
      <c r="F2" s="21" t="s">
        <v>0</v>
      </c>
      <c r="G2" s="14" t="s">
        <v>1</v>
      </c>
    </row>
    <row r="3" spans="1:7" x14ac:dyDescent="0.25">
      <c r="A3" s="11" t="s">
        <v>42</v>
      </c>
      <c r="B3" s="2">
        <v>7454204.6380000003</v>
      </c>
      <c r="C3" s="3">
        <v>761811.24199999997</v>
      </c>
      <c r="D3" s="2" t="e">
        <f t="array" aca="1" ref="D3:E3" ca="1">[1]!grid_to_geodetic($B3,$C3,"sweref_99_tm")</f>
        <v>#NAME?</v>
      </c>
      <c r="E3" s="3" t="e">
        <f ca="1"/>
        <v>#NAME?</v>
      </c>
      <c r="F3" s="15" t="e">
        <f t="array" aca="1" ref="F3:G3" ca="1">[1]!geodetic_to_grid(D3,E3,"rt_90_2.5_gon_v")</f>
        <v>#NAME?</v>
      </c>
      <c r="G3" s="16" t="e">
        <f ca="1"/>
        <v>#NAME?</v>
      </c>
    </row>
    <row r="4" spans="1:7" x14ac:dyDescent="0.25">
      <c r="A4" s="11" t="s">
        <v>43</v>
      </c>
      <c r="B4" s="2">
        <v>7046077.6050000004</v>
      </c>
      <c r="C4" s="3">
        <v>562140.33700000006</v>
      </c>
      <c r="D4" s="2" t="e">
        <f t="array" aca="1" ref="D4:E4" ca="1">[1]!grid_to_geodetic($B4,$C4,"sweref_99_tm")</f>
        <v>#NAME?</v>
      </c>
      <c r="E4" s="3" t="e">
        <f ca="1"/>
        <v>#NAME?</v>
      </c>
      <c r="F4" s="15" t="e">
        <f t="array" aca="1" ref="F4:G4" ca="1">[1]!geodetic_to_grid(D4,E4,"rt_90_2.5_gon_v")</f>
        <v>#NAME?</v>
      </c>
      <c r="G4" s="16" t="e">
        <f ca="1"/>
        <v>#NAME?</v>
      </c>
    </row>
    <row r="5" spans="1:7" x14ac:dyDescent="0.25">
      <c r="A5" s="11" t="s">
        <v>44</v>
      </c>
      <c r="B5" s="2">
        <v>6669189.3760000002</v>
      </c>
      <c r="C5" s="3">
        <v>486557.05499999999</v>
      </c>
      <c r="D5" s="2" t="e">
        <f t="array" aca="1" ref="D5:E5" ca="1">[1]!grid_to_geodetic($B5,$C5,"sweref_99_tm")</f>
        <v>#NAME?</v>
      </c>
      <c r="E5" s="3" t="e">
        <f ca="1"/>
        <v>#NAME?</v>
      </c>
      <c r="F5" s="15" t="e">
        <f t="array" aca="1" ref="F5:G5" ca="1">[1]!geodetic_to_grid(D5,E5,"rt_90_2.5_gon_v")</f>
        <v>#NAME?</v>
      </c>
      <c r="G5" s="16" t="e">
        <f ca="1"/>
        <v>#NAME?</v>
      </c>
    </row>
    <row r="6" spans="1:7" x14ac:dyDescent="0.25">
      <c r="A6" s="11" t="s">
        <v>45</v>
      </c>
      <c r="B6" s="2">
        <v>6246136.4579999996</v>
      </c>
      <c r="C6" s="3">
        <v>430374.83500000002</v>
      </c>
      <c r="D6" s="2" t="e">
        <f t="array" aca="1" ref="D6:E6" ca="1">[1]!grid_to_geodetic($B6,$C6,"sweref_99_tm")</f>
        <v>#NAME?</v>
      </c>
      <c r="E6" s="3" t="e">
        <f ca="1"/>
        <v>#NAME?</v>
      </c>
      <c r="F6" s="15" t="e">
        <f t="array" aca="1" ref="F6:G6" ca="1">[1]!geodetic_to_grid(D6,E6,"rt_90_2.5_gon_v")</f>
        <v>#NAME?</v>
      </c>
      <c r="G6" s="16" t="e">
        <f ca="1"/>
        <v>#NAME?</v>
      </c>
    </row>
    <row r="8" spans="1:7" x14ac:dyDescent="0.25">
      <c r="B8" s="65" t="s">
        <v>59</v>
      </c>
      <c r="C8" s="65"/>
      <c r="D8" s="66" t="s">
        <v>60</v>
      </c>
      <c r="E8" s="66"/>
      <c r="F8" s="66"/>
      <c r="G8" s="66"/>
    </row>
    <row r="9" spans="1:7" x14ac:dyDescent="0.25">
      <c r="A9" s="12"/>
      <c r="B9" s="8" t="s">
        <v>0</v>
      </c>
      <c r="C9" s="9" t="s">
        <v>1</v>
      </c>
      <c r="D9" s="8" t="s">
        <v>2</v>
      </c>
      <c r="E9" s="9" t="s">
        <v>3</v>
      </c>
      <c r="F9" s="13" t="s">
        <v>0</v>
      </c>
      <c r="G9" s="14" t="s">
        <v>1</v>
      </c>
    </row>
    <row r="10" spans="1:7" x14ac:dyDescent="0.25">
      <c r="A10" s="11" t="s">
        <v>42</v>
      </c>
      <c r="B10" s="2">
        <v>7453389.7620000001</v>
      </c>
      <c r="C10" s="3">
        <v>1727060.905</v>
      </c>
      <c r="D10" s="2" t="e">
        <f t="array" aca="1" ref="D10:E10" ca="1">[1]!grid_to_geodetic($B10,$C10,"rt_90_2.5_gon_v")</f>
        <v>#NAME?</v>
      </c>
      <c r="E10" s="3" t="e">
        <f ca="1"/>
        <v>#NAME?</v>
      </c>
      <c r="F10" s="15" t="e">
        <f t="array" aca="1" ref="F10:G10" ca="1">[1]!geodetic_to_grid($D10,$E10,"sweref_99_tm")</f>
        <v>#NAME?</v>
      </c>
      <c r="G10" s="16" t="e">
        <f ca="1"/>
        <v>#NAME?</v>
      </c>
    </row>
    <row r="11" spans="1:7" x14ac:dyDescent="0.25">
      <c r="A11" s="11" t="s">
        <v>43</v>
      </c>
      <c r="B11" s="2">
        <v>7047738.415</v>
      </c>
      <c r="C11" s="3">
        <v>1522128.6370000001</v>
      </c>
      <c r="D11" s="2" t="e">
        <f t="array" aca="1" ref="D11:E11" ca="1">[1]!grid_to_geodetic($B11,$C11,"rt_90_2.5_gon_v")</f>
        <v>#NAME?</v>
      </c>
      <c r="E11" s="3" t="e">
        <f ca="1"/>
        <v>#NAME?</v>
      </c>
      <c r="F11" s="15" t="e">
        <f t="array" aca="1" ref="F11:G11" ca="1">[1]!geodetic_to_grid($D11,$E11,"sweref_99_tm")</f>
        <v>#NAME?</v>
      </c>
      <c r="G11" s="16" t="e">
        <f ca="1"/>
        <v>#NAME?</v>
      </c>
    </row>
    <row r="12" spans="1:7" x14ac:dyDescent="0.25">
      <c r="A12" s="11" t="s">
        <v>44</v>
      </c>
      <c r="B12" s="2">
        <v>6671665.273</v>
      </c>
      <c r="C12" s="3">
        <v>1441843.186</v>
      </c>
      <c r="D12" s="2" t="e">
        <f t="array" aca="1" ref="D12:E12" ca="1">[1]!grid_to_geodetic($B12,$C12,"rt_90_2.5_gon_v")</f>
        <v>#NAME?</v>
      </c>
      <c r="E12" s="3" t="e">
        <f ca="1"/>
        <v>#NAME?</v>
      </c>
      <c r="F12" s="15" t="e">
        <f t="array" aca="1" ref="F12:G12" ca="1">[1]!geodetic_to_grid($D12,$E12,"sweref_99_tm")</f>
        <v>#NAME?</v>
      </c>
      <c r="G12" s="16" t="e">
        <f ca="1"/>
        <v>#NAME?</v>
      </c>
    </row>
    <row r="13" spans="1:7" x14ac:dyDescent="0.25">
      <c r="A13" s="11" t="s">
        <v>45</v>
      </c>
      <c r="B13" s="2">
        <v>6249111.3509999998</v>
      </c>
      <c r="C13" s="3">
        <v>1380573.0789999999</v>
      </c>
      <c r="D13" s="2" t="e">
        <f t="array" aca="1" ref="D13:E13" ca="1">[1]!grid_to_geodetic($B13,$C13,"rt_90_2.5_gon_v")</f>
        <v>#NAME?</v>
      </c>
      <c r="E13" s="3" t="e">
        <f ca="1"/>
        <v>#NAME?</v>
      </c>
      <c r="F13" s="15" t="e">
        <f t="array" aca="1" ref="F13:G13" ca="1">[1]!geodetic_to_grid($D13,$E13,"sweref_99_tm")</f>
        <v>#NAME?</v>
      </c>
      <c r="G13" s="16" t="e">
        <f ca="1"/>
        <v>#NAME?</v>
      </c>
    </row>
  </sheetData>
  <mergeCells count="4">
    <mergeCell ref="B1:C1"/>
    <mergeCell ref="D1:G1"/>
    <mergeCell ref="B8:C8"/>
    <mergeCell ref="D8:G8"/>
  </mergeCells>
  <pageMargins left="0.7" right="0.7" top="0.75" bottom="0.75" header="0.3" footer="0.3"/>
  <pageSetup paperSize="9" orientation="portrait" r:id="rId1"/>
  <ignoredErrors>
    <ignoredError sqref="A3:A6 A10:A13" numberStoredAsText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K7"/>
  <sheetViews>
    <sheetView workbookViewId="0">
      <pane ySplit="3" topLeftCell="A4" activePane="bottomLeft" state="frozenSplit"/>
      <selection pane="bottomLeft"/>
    </sheetView>
  </sheetViews>
  <sheetFormatPr defaultRowHeight="15" x14ac:dyDescent="0.25"/>
  <cols>
    <col min="1" max="1" width="9.140625" style="11"/>
    <col min="2" max="2" width="9.140625" style="2"/>
    <col min="3" max="4" width="9.140625" style="1"/>
    <col min="5" max="5" width="9.140625" style="2"/>
    <col min="6" max="7" width="9.140625" style="1"/>
    <col min="8" max="8" width="19.28515625" style="2" customWidth="1"/>
    <col min="9" max="9" width="19.28515625" style="3" customWidth="1"/>
    <col min="10" max="10" width="19.28515625" style="1" customWidth="1"/>
    <col min="11" max="11" width="19.28515625" style="3" customWidth="1"/>
  </cols>
  <sheetData>
    <row r="1" spans="1:11" x14ac:dyDescent="0.25">
      <c r="B1" s="67" t="s">
        <v>2</v>
      </c>
      <c r="C1" s="68"/>
      <c r="D1" s="69"/>
      <c r="E1" s="67" t="s">
        <v>3</v>
      </c>
      <c r="F1" s="68"/>
      <c r="G1" s="69"/>
      <c r="H1" s="28" t="s">
        <v>2</v>
      </c>
      <c r="I1" s="29" t="s">
        <v>3</v>
      </c>
      <c r="J1" s="70" t="s">
        <v>4</v>
      </c>
      <c r="K1" s="70"/>
    </row>
    <row r="2" spans="1:11" x14ac:dyDescent="0.25">
      <c r="J2" s="27" t="s">
        <v>5</v>
      </c>
      <c r="K2" s="30" t="s">
        <v>22</v>
      </c>
    </row>
    <row r="3" spans="1:11" x14ac:dyDescent="0.25">
      <c r="A3" s="12"/>
      <c r="B3" s="8" t="s">
        <v>46</v>
      </c>
      <c r="C3" s="10" t="s">
        <v>47</v>
      </c>
      <c r="D3" s="10" t="s">
        <v>48</v>
      </c>
      <c r="E3" s="8" t="s">
        <v>46</v>
      </c>
      <c r="F3" s="10" t="s">
        <v>47</v>
      </c>
      <c r="G3" s="10" t="s">
        <v>48</v>
      </c>
      <c r="H3" s="2" t="s">
        <v>49</v>
      </c>
      <c r="I3" s="3" t="s">
        <v>49</v>
      </c>
      <c r="J3" s="1" t="s">
        <v>0</v>
      </c>
      <c r="K3" s="3" t="s">
        <v>1</v>
      </c>
    </row>
    <row r="4" spans="1:11" x14ac:dyDescent="0.25">
      <c r="A4" s="11" t="s">
        <v>42</v>
      </c>
      <c r="B4" s="2">
        <v>67</v>
      </c>
      <c r="C4" s="1">
        <v>5</v>
      </c>
      <c r="D4" s="1">
        <v>26.452769</v>
      </c>
      <c r="E4" s="2">
        <v>21</v>
      </c>
      <c r="F4" s="1">
        <v>2</v>
      </c>
      <c r="G4" s="1">
        <v>5.1015750000000004</v>
      </c>
      <c r="H4" s="2">
        <f>B4+(C4/60)+(D4/3600)</f>
        <v>67.090681324722212</v>
      </c>
      <c r="I4" s="3">
        <f>E4+(F4/60)+(G4/3600)</f>
        <v>21.034750437500001</v>
      </c>
      <c r="J4" s="1" t="e">
        <f t="array" aca="1" ref="J4:K4" ca="1">[1]!geodetic_to_grid($H4,$I4,"sweref_99_tm")</f>
        <v>#NAME?</v>
      </c>
      <c r="K4" s="3" t="e">
        <f ca="1"/>
        <v>#NAME?</v>
      </c>
    </row>
    <row r="5" spans="1:11" x14ac:dyDescent="0.25">
      <c r="A5" s="11" t="s">
        <v>43</v>
      </c>
      <c r="B5" s="2">
        <v>63</v>
      </c>
      <c r="C5" s="1">
        <v>32</v>
      </c>
      <c r="D5" s="1">
        <v>14.761735</v>
      </c>
      <c r="E5" s="2">
        <v>16</v>
      </c>
      <c r="F5" s="1">
        <v>14</v>
      </c>
      <c r="G5" s="1">
        <v>59.594625999999998</v>
      </c>
      <c r="H5" s="2">
        <f t="shared" ref="H5:H7" si="0">B5+(C5/60)+(D5/3600)</f>
        <v>63.537433815277772</v>
      </c>
      <c r="I5" s="3">
        <f t="shared" ref="I5:I7" si="1">E5+(F5/60)+(G5/3600)</f>
        <v>16.249887396111113</v>
      </c>
      <c r="J5" s="1" t="e">
        <f t="array" aca="1" ref="J5:K5" ca="1">[1]!geodetic_to_grid($H5,$I5,"sweref_99_tm")</f>
        <v>#NAME?</v>
      </c>
      <c r="K5" s="3" t="e">
        <f ca="1"/>
        <v>#NAME?</v>
      </c>
    </row>
    <row r="6" spans="1:11" x14ac:dyDescent="0.25">
      <c r="A6" s="11" t="s">
        <v>44</v>
      </c>
      <c r="B6" s="2">
        <v>60</v>
      </c>
      <c r="C6" s="1">
        <v>9</v>
      </c>
      <c r="D6" s="1">
        <v>33.882413</v>
      </c>
      <c r="E6" s="2">
        <v>14</v>
      </c>
      <c r="F6" s="1">
        <v>45</v>
      </c>
      <c r="G6" s="1">
        <v>28.167152000000002</v>
      </c>
      <c r="H6" s="2">
        <f t="shared" si="0"/>
        <v>60.15941178138889</v>
      </c>
      <c r="I6" s="3">
        <f t="shared" si="1"/>
        <v>14.75782420888889</v>
      </c>
      <c r="J6" s="1" t="e">
        <f t="array" aca="1" ref="J6:K6" ca="1">[1]!geodetic_to_grid($H6,$I6,"sweref_99_tm")</f>
        <v>#NAME?</v>
      </c>
      <c r="K6" s="3" t="e">
        <f ca="1"/>
        <v>#NAME?</v>
      </c>
    </row>
    <row r="7" spans="1:11" x14ac:dyDescent="0.25">
      <c r="A7" s="11" t="s">
        <v>45</v>
      </c>
      <c r="B7" s="2">
        <v>56</v>
      </c>
      <c r="C7" s="1">
        <v>21</v>
      </c>
      <c r="D7" s="1">
        <v>17.199245000000001</v>
      </c>
      <c r="E7" s="2">
        <v>13</v>
      </c>
      <c r="F7" s="1">
        <v>52</v>
      </c>
      <c r="G7" s="1">
        <v>23.754021999999999</v>
      </c>
      <c r="H7" s="2">
        <f t="shared" si="0"/>
        <v>56.35477756805556</v>
      </c>
      <c r="I7" s="3">
        <f t="shared" si="1"/>
        <v>13.873265006111112</v>
      </c>
      <c r="J7" s="1" t="e">
        <f t="array" aca="1" ref="J7:K7" ca="1">[1]!geodetic_to_grid($H7,$I7,"sweref_99_tm")</f>
        <v>#NAME?</v>
      </c>
      <c r="K7" s="3" t="e">
        <f ca="1"/>
        <v>#NAME?</v>
      </c>
    </row>
  </sheetData>
  <mergeCells count="3">
    <mergeCell ref="B1:D1"/>
    <mergeCell ref="E1:G1"/>
    <mergeCell ref="J1:K1"/>
  </mergeCells>
  <dataValidations count="1">
    <dataValidation type="list" allowBlank="1" showInputMessage="1" showErrorMessage="1" sqref="K2" xr:uid="{00000000-0002-0000-0300-000000000000}">
      <formula1>projection_list</formula1>
    </dataValidation>
  </dataValidations>
  <pageMargins left="0.7" right="0.7" top="0.75" bottom="0.75" header="0.3" footer="0.3"/>
  <pageSetup paperSize="9" orientation="portrait" r:id="rId1"/>
  <ignoredErrors>
    <ignoredError sqref="A4:A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I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.7109375" customWidth="1"/>
    <col min="2" max="2" width="17.5703125" customWidth="1"/>
    <col min="3" max="9" width="17.5703125" style="1" customWidth="1"/>
  </cols>
  <sheetData>
    <row r="1" spans="1:9" s="6" customFormat="1" x14ac:dyDescent="0.25">
      <c r="A1" s="6" t="s">
        <v>6</v>
      </c>
      <c r="B1" s="6" t="s">
        <v>41</v>
      </c>
      <c r="C1" s="7" t="s">
        <v>40</v>
      </c>
      <c r="D1" s="7" t="s">
        <v>39</v>
      </c>
      <c r="E1" s="7" t="s">
        <v>38</v>
      </c>
      <c r="F1" s="7" t="s">
        <v>37</v>
      </c>
      <c r="G1" s="7" t="s">
        <v>36</v>
      </c>
      <c r="H1" s="7" t="s">
        <v>7</v>
      </c>
      <c r="I1" s="7" t="s">
        <v>8</v>
      </c>
    </row>
    <row r="2" spans="1:9" x14ac:dyDescent="0.25">
      <c r="A2" s="5" t="s">
        <v>26</v>
      </c>
      <c r="B2" s="5" t="s">
        <v>23</v>
      </c>
      <c r="C2" s="4">
        <v>6377397.1550000003</v>
      </c>
      <c r="D2" s="4">
        <f t="shared" ref="D2:D7" si="0">1 / 299.1528128</f>
        <v>3.3427731821748059E-3</v>
      </c>
      <c r="E2" s="4">
        <f xml:space="preserve"> 18 + 3/60 + 29.8/3600</f>
        <v>18.058277777777779</v>
      </c>
      <c r="F2" s="4">
        <v>0</v>
      </c>
      <c r="G2" s="4">
        <v>1</v>
      </c>
      <c r="H2" s="4">
        <v>0</v>
      </c>
      <c r="I2" s="4">
        <v>1500000</v>
      </c>
    </row>
    <row r="3" spans="1:9" x14ac:dyDescent="0.25">
      <c r="A3" s="5" t="s">
        <v>25</v>
      </c>
      <c r="B3" s="5" t="s">
        <v>23</v>
      </c>
      <c r="C3" s="4">
        <v>6377397.1550000003</v>
      </c>
      <c r="D3" s="4">
        <f t="shared" si="0"/>
        <v>3.3427731821748059E-3</v>
      </c>
      <c r="E3" s="4">
        <f>20 + 18/60 + 29.8/3600</f>
        <v>20.308277777777779</v>
      </c>
      <c r="F3" s="4">
        <v>0</v>
      </c>
      <c r="G3" s="4">
        <v>1</v>
      </c>
      <c r="H3" s="4">
        <v>0</v>
      </c>
      <c r="I3" s="4">
        <v>1500000</v>
      </c>
    </row>
    <row r="4" spans="1:9" x14ac:dyDescent="0.25">
      <c r="A4" s="5" t="s">
        <v>27</v>
      </c>
      <c r="B4" s="5" t="s">
        <v>23</v>
      </c>
      <c r="C4" s="4">
        <v>6377397.1550000003</v>
      </c>
      <c r="D4" s="4">
        <f t="shared" si="0"/>
        <v>3.3427731821748059E-3</v>
      </c>
      <c r="E4" s="4">
        <f>15 + 48/60 + 29.8/3600</f>
        <v>15.808277777777779</v>
      </c>
      <c r="F4" s="4">
        <v>0</v>
      </c>
      <c r="G4" s="4">
        <v>1</v>
      </c>
      <c r="H4" s="4">
        <v>0</v>
      </c>
      <c r="I4" s="4">
        <v>1500000</v>
      </c>
    </row>
    <row r="5" spans="1:9" x14ac:dyDescent="0.25">
      <c r="A5" s="5" t="s">
        <v>24</v>
      </c>
      <c r="B5" s="5" t="s">
        <v>23</v>
      </c>
      <c r="C5" s="4">
        <v>6377397.1550000003</v>
      </c>
      <c r="D5" s="4">
        <f t="shared" si="0"/>
        <v>3.3427731821748059E-3</v>
      </c>
      <c r="E5" s="4">
        <f>22 + 33/60 + 29.8/3600</f>
        <v>22.558277777777779</v>
      </c>
      <c r="F5" s="4">
        <v>0</v>
      </c>
      <c r="G5" s="4">
        <v>1</v>
      </c>
      <c r="H5" s="4">
        <v>0</v>
      </c>
      <c r="I5" s="4">
        <v>1500000</v>
      </c>
    </row>
    <row r="6" spans="1:9" x14ac:dyDescent="0.25">
      <c r="A6" s="5" t="s">
        <v>28</v>
      </c>
      <c r="B6" s="5" t="s">
        <v>23</v>
      </c>
      <c r="C6" s="4">
        <v>6377397.1550000003</v>
      </c>
      <c r="D6" s="4">
        <f t="shared" si="0"/>
        <v>3.3427731821748059E-3</v>
      </c>
      <c r="E6" s="4">
        <f xml:space="preserve"> 13 + 33/60 + 29.8/3600</f>
        <v>13.558277777777779</v>
      </c>
      <c r="F6" s="4">
        <v>0</v>
      </c>
      <c r="G6" s="4">
        <v>1</v>
      </c>
      <c r="H6" s="4">
        <v>0</v>
      </c>
      <c r="I6" s="4">
        <v>1500000</v>
      </c>
    </row>
    <row r="7" spans="1:9" x14ac:dyDescent="0.25">
      <c r="A7" s="5" t="s">
        <v>29</v>
      </c>
      <c r="B7" s="5" t="s">
        <v>23</v>
      </c>
      <c r="C7" s="4">
        <v>6377397.1550000003</v>
      </c>
      <c r="D7" s="4">
        <f t="shared" si="0"/>
        <v>3.3427731821748059E-3</v>
      </c>
      <c r="E7" s="4">
        <f xml:space="preserve"> 11 + 18/60 + 29.8/3600</f>
        <v>11.308277777777779</v>
      </c>
      <c r="F7" s="4">
        <v>0</v>
      </c>
      <c r="G7" s="4">
        <v>1</v>
      </c>
      <c r="H7" s="4">
        <v>0</v>
      </c>
      <c r="I7" s="4">
        <v>1500000</v>
      </c>
    </row>
    <row r="8" spans="1:9" x14ac:dyDescent="0.25">
      <c r="A8" t="s">
        <v>32</v>
      </c>
      <c r="B8" t="s">
        <v>9</v>
      </c>
      <c r="C8" s="1">
        <v>6378137</v>
      </c>
      <c r="D8" s="1">
        <f t="shared" ref="D8:D26" si="1" xml:space="preserve"> 1 / 298.257222101</f>
        <v>3.3528106811823188E-3</v>
      </c>
      <c r="E8" s="1">
        <f xml:space="preserve"> 18 + 3.378/60</f>
        <v>18.0563</v>
      </c>
      <c r="F8" s="1">
        <v>0</v>
      </c>
      <c r="G8" s="1">
        <v>1.0000054</v>
      </c>
      <c r="H8" s="1">
        <v>-668.84400000000005</v>
      </c>
      <c r="I8" s="1">
        <v>1500083.5209999999</v>
      </c>
    </row>
    <row r="9" spans="1:9" x14ac:dyDescent="0.25">
      <c r="A9" t="s">
        <v>31</v>
      </c>
      <c r="B9" t="s">
        <v>9</v>
      </c>
      <c r="C9" s="1">
        <v>6378137</v>
      </c>
      <c r="D9" s="1">
        <f t="shared" si="1"/>
        <v>3.3528106811823188E-3</v>
      </c>
      <c r="E9" s="1">
        <f>20 + 18.379/60</f>
        <v>20.306316666666667</v>
      </c>
      <c r="F9" s="1">
        <v>0</v>
      </c>
      <c r="G9" s="1">
        <v>1.0000051999999999</v>
      </c>
      <c r="H9" s="1">
        <v>-670.70600000000002</v>
      </c>
      <c r="I9" s="1">
        <v>1500102.7649999999</v>
      </c>
    </row>
    <row r="10" spans="1:9" x14ac:dyDescent="0.25">
      <c r="A10" t="s">
        <v>33</v>
      </c>
      <c r="B10" t="s">
        <v>9</v>
      </c>
      <c r="C10" s="1">
        <v>6378137</v>
      </c>
      <c r="D10" s="1">
        <f t="shared" si="1"/>
        <v>3.3528106811823188E-3</v>
      </c>
      <c r="E10" s="1">
        <f xml:space="preserve"> 15 + 48/60 + 22.624306/3600</f>
        <v>15.806284529444445</v>
      </c>
      <c r="F10" s="1">
        <v>0</v>
      </c>
      <c r="G10" s="1">
        <v>1.0000056102399999</v>
      </c>
      <c r="H10" s="1">
        <v>-667.71100000000001</v>
      </c>
      <c r="I10" s="1">
        <v>1500064.274</v>
      </c>
    </row>
    <row r="11" spans="1:9" x14ac:dyDescent="0.25">
      <c r="A11" t="s">
        <v>30</v>
      </c>
      <c r="B11" t="s">
        <v>9</v>
      </c>
      <c r="C11" s="1">
        <v>6378137</v>
      </c>
      <c r="D11" s="1">
        <f t="shared" si="1"/>
        <v>3.3528106811823188E-3</v>
      </c>
      <c r="E11" s="1">
        <f xml:space="preserve"> 22 + 33.38/60</f>
        <v>22.556333333333335</v>
      </c>
      <c r="F11" s="1">
        <v>0</v>
      </c>
      <c r="G11" s="1">
        <v>1.0000049</v>
      </c>
      <c r="H11" s="1">
        <v>-672.55700000000002</v>
      </c>
      <c r="I11" s="1">
        <v>1500121.8459999999</v>
      </c>
    </row>
    <row r="12" spans="1:9" x14ac:dyDescent="0.25">
      <c r="A12" t="s">
        <v>34</v>
      </c>
      <c r="B12" t="s">
        <v>9</v>
      </c>
      <c r="C12" s="1">
        <v>6378137</v>
      </c>
      <c r="D12" s="1">
        <f t="shared" si="1"/>
        <v>3.3528106811823188E-3</v>
      </c>
      <c r="E12" s="1">
        <f xml:space="preserve"> 13 + 33.376/60</f>
        <v>13.556266666666666</v>
      </c>
      <c r="F12" s="1">
        <v>0</v>
      </c>
      <c r="G12" s="1">
        <v>1.0000058000000001</v>
      </c>
      <c r="H12" s="1">
        <v>-667.13</v>
      </c>
      <c r="I12" s="1">
        <v>1500044.6950000001</v>
      </c>
    </row>
    <row r="13" spans="1:9" x14ac:dyDescent="0.25">
      <c r="A13" t="s">
        <v>35</v>
      </c>
      <c r="B13" t="s">
        <v>9</v>
      </c>
      <c r="C13" s="1">
        <v>6378137</v>
      </c>
      <c r="D13" s="1">
        <f t="shared" si="1"/>
        <v>3.3528106811823188E-3</v>
      </c>
      <c r="E13" s="1">
        <f xml:space="preserve"> 11 + 18.375/60</f>
        <v>11.30625</v>
      </c>
      <c r="F13" s="1">
        <v>0</v>
      </c>
      <c r="G13" s="1">
        <v>1.000006</v>
      </c>
      <c r="H13" s="1">
        <v>-667.28200000000004</v>
      </c>
      <c r="I13" s="1">
        <v>1500025.1410000001</v>
      </c>
    </row>
    <row r="14" spans="1:9" x14ac:dyDescent="0.25">
      <c r="A14" t="s">
        <v>21</v>
      </c>
      <c r="B14" t="s">
        <v>9</v>
      </c>
      <c r="C14" s="1">
        <v>6378137</v>
      </c>
      <c r="D14" s="1">
        <f t="shared" si="1"/>
        <v>3.3528106811823188E-3</v>
      </c>
      <c r="E14" s="1">
        <v>12</v>
      </c>
      <c r="F14" s="1">
        <v>0</v>
      </c>
      <c r="G14" s="1">
        <v>1</v>
      </c>
      <c r="H14" s="1">
        <v>0</v>
      </c>
      <c r="I14" s="1">
        <v>150000</v>
      </c>
    </row>
    <row r="15" spans="1:9" x14ac:dyDescent="0.25">
      <c r="A15" t="s">
        <v>20</v>
      </c>
      <c r="B15" t="s">
        <v>9</v>
      </c>
      <c r="C15" s="1">
        <v>6378137</v>
      </c>
      <c r="D15" s="1">
        <f t="shared" si="1"/>
        <v>3.3528106811823188E-3</v>
      </c>
      <c r="E15" s="1">
        <v>13.5</v>
      </c>
      <c r="F15" s="1">
        <v>0</v>
      </c>
      <c r="G15" s="1">
        <v>1</v>
      </c>
      <c r="H15" s="1">
        <v>0</v>
      </c>
      <c r="I15" s="1">
        <v>150000</v>
      </c>
    </row>
    <row r="16" spans="1:9" x14ac:dyDescent="0.25">
      <c r="A16" t="s">
        <v>16</v>
      </c>
      <c r="B16" t="s">
        <v>9</v>
      </c>
      <c r="C16" s="1">
        <v>6378137</v>
      </c>
      <c r="D16" s="1">
        <f t="shared" si="1"/>
        <v>3.3528106811823188E-3</v>
      </c>
      <c r="E16" s="1">
        <v>14.25</v>
      </c>
      <c r="F16" s="1">
        <v>0</v>
      </c>
      <c r="G16" s="1">
        <v>1</v>
      </c>
      <c r="H16" s="1">
        <v>0</v>
      </c>
      <c r="I16" s="1">
        <v>150000</v>
      </c>
    </row>
    <row r="17" spans="1:9" x14ac:dyDescent="0.25">
      <c r="A17" t="s">
        <v>19</v>
      </c>
      <c r="B17" t="s">
        <v>9</v>
      </c>
      <c r="C17" s="1">
        <v>6378137</v>
      </c>
      <c r="D17" s="1">
        <f t="shared" si="1"/>
        <v>3.3528106811823188E-3</v>
      </c>
      <c r="E17" s="1">
        <v>15</v>
      </c>
      <c r="F17" s="1">
        <v>0</v>
      </c>
      <c r="G17" s="1">
        <v>1</v>
      </c>
      <c r="H17" s="1">
        <v>0</v>
      </c>
      <c r="I17" s="1">
        <v>150000</v>
      </c>
    </row>
    <row r="18" spans="1:9" x14ac:dyDescent="0.25">
      <c r="A18" t="s">
        <v>15</v>
      </c>
      <c r="B18" t="s">
        <v>9</v>
      </c>
      <c r="C18" s="1">
        <v>6378137</v>
      </c>
      <c r="D18" s="1">
        <f t="shared" si="1"/>
        <v>3.3528106811823188E-3</v>
      </c>
      <c r="E18" s="1">
        <v>15.75</v>
      </c>
      <c r="F18" s="1">
        <v>0</v>
      </c>
      <c r="G18" s="1">
        <v>1</v>
      </c>
      <c r="H18" s="1">
        <v>0</v>
      </c>
      <c r="I18" s="1">
        <v>150000</v>
      </c>
    </row>
    <row r="19" spans="1:9" x14ac:dyDescent="0.25">
      <c r="A19" t="s">
        <v>18</v>
      </c>
      <c r="B19" t="s">
        <v>9</v>
      </c>
      <c r="C19" s="1">
        <v>6378137</v>
      </c>
      <c r="D19" s="1">
        <f t="shared" si="1"/>
        <v>3.3528106811823188E-3</v>
      </c>
      <c r="E19" s="1">
        <v>16.5</v>
      </c>
      <c r="F19" s="1">
        <v>0</v>
      </c>
      <c r="G19" s="1">
        <v>1</v>
      </c>
      <c r="H19" s="1">
        <v>0</v>
      </c>
      <c r="I19" s="1">
        <v>150000</v>
      </c>
    </row>
    <row r="20" spans="1:9" x14ac:dyDescent="0.25">
      <c r="A20" t="s">
        <v>14</v>
      </c>
      <c r="B20" t="s">
        <v>9</v>
      </c>
      <c r="C20" s="1">
        <v>6378137</v>
      </c>
      <c r="D20" s="1">
        <f t="shared" si="1"/>
        <v>3.3528106811823188E-3</v>
      </c>
      <c r="E20" s="1">
        <v>17.25</v>
      </c>
      <c r="F20" s="1">
        <v>0</v>
      </c>
      <c r="G20" s="1">
        <v>1</v>
      </c>
      <c r="H20" s="1">
        <v>0</v>
      </c>
      <c r="I20" s="1">
        <v>150000</v>
      </c>
    </row>
    <row r="21" spans="1:9" x14ac:dyDescent="0.25">
      <c r="A21" t="s">
        <v>17</v>
      </c>
      <c r="B21" t="s">
        <v>9</v>
      </c>
      <c r="C21" s="1">
        <v>6378137</v>
      </c>
      <c r="D21" s="1">
        <f t="shared" si="1"/>
        <v>3.3528106811823188E-3</v>
      </c>
      <c r="E21" s="1">
        <v>18</v>
      </c>
      <c r="F21" s="1">
        <v>0</v>
      </c>
      <c r="G21" s="1">
        <v>1</v>
      </c>
      <c r="H21" s="1">
        <v>0</v>
      </c>
      <c r="I21" s="1">
        <v>150000</v>
      </c>
    </row>
    <row r="22" spans="1:9" x14ac:dyDescent="0.25">
      <c r="A22" t="s">
        <v>13</v>
      </c>
      <c r="B22" t="s">
        <v>9</v>
      </c>
      <c r="C22" s="1">
        <v>6378137</v>
      </c>
      <c r="D22" s="1">
        <f t="shared" si="1"/>
        <v>3.3528106811823188E-3</v>
      </c>
      <c r="E22" s="1">
        <v>18.75</v>
      </c>
      <c r="F22" s="1">
        <v>0</v>
      </c>
      <c r="G22" s="1">
        <v>1</v>
      </c>
      <c r="H22" s="1">
        <v>0</v>
      </c>
      <c r="I22" s="1">
        <v>150000</v>
      </c>
    </row>
    <row r="23" spans="1:9" x14ac:dyDescent="0.25">
      <c r="A23" t="s">
        <v>12</v>
      </c>
      <c r="B23" t="s">
        <v>9</v>
      </c>
      <c r="C23" s="1">
        <v>6378137</v>
      </c>
      <c r="D23" s="1">
        <f t="shared" si="1"/>
        <v>3.3528106811823188E-3</v>
      </c>
      <c r="E23" s="1">
        <v>20.25</v>
      </c>
      <c r="F23" s="1">
        <v>0</v>
      </c>
      <c r="G23" s="1">
        <v>1</v>
      </c>
      <c r="H23" s="1">
        <v>0</v>
      </c>
      <c r="I23" s="1">
        <v>150000</v>
      </c>
    </row>
    <row r="24" spans="1:9" x14ac:dyDescent="0.25">
      <c r="A24" t="s">
        <v>11</v>
      </c>
      <c r="B24" t="s">
        <v>9</v>
      </c>
      <c r="C24" s="1">
        <v>6378137</v>
      </c>
      <c r="D24" s="1">
        <f t="shared" si="1"/>
        <v>3.3528106811823188E-3</v>
      </c>
      <c r="E24" s="1">
        <v>21.75</v>
      </c>
      <c r="F24" s="1">
        <v>0</v>
      </c>
      <c r="G24" s="1">
        <v>1</v>
      </c>
      <c r="H24" s="1">
        <v>0</v>
      </c>
      <c r="I24" s="1">
        <v>150000</v>
      </c>
    </row>
    <row r="25" spans="1:9" x14ac:dyDescent="0.25">
      <c r="A25" t="s">
        <v>10</v>
      </c>
      <c r="B25" t="s">
        <v>9</v>
      </c>
      <c r="C25" s="1">
        <v>6378137</v>
      </c>
      <c r="D25" s="1">
        <f t="shared" si="1"/>
        <v>3.3528106811823188E-3</v>
      </c>
      <c r="E25" s="1">
        <v>23.25</v>
      </c>
      <c r="F25" s="1">
        <v>0</v>
      </c>
      <c r="G25" s="1">
        <v>1</v>
      </c>
      <c r="H25" s="1">
        <v>0</v>
      </c>
      <c r="I25" s="1">
        <v>150000</v>
      </c>
    </row>
    <row r="26" spans="1:9" x14ac:dyDescent="0.25">
      <c r="A26" t="s">
        <v>22</v>
      </c>
      <c r="B26" t="s">
        <v>9</v>
      </c>
      <c r="C26" s="1">
        <v>6378137</v>
      </c>
      <c r="D26" s="1">
        <f t="shared" si="1"/>
        <v>3.3528106811823188E-3</v>
      </c>
      <c r="E26" s="1">
        <v>15</v>
      </c>
      <c r="F26" s="1">
        <v>0</v>
      </c>
      <c r="G26" s="1">
        <v>0.99960000000000004</v>
      </c>
      <c r="H26" s="1">
        <v>0</v>
      </c>
      <c r="I26" s="1">
        <v>500000</v>
      </c>
    </row>
  </sheetData>
  <sortState xmlns:xlrd2="http://schemas.microsoft.com/office/spreadsheetml/2017/richdata2" ref="A2:I26">
    <sortCondition ref="A2:A26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5640-80DE-4B02-B640-A3FDDE864D69}">
  <sheetPr codeName="Blad4"/>
  <dimension ref="A1:I16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E7" sqref="E7:F7"/>
    </sheetView>
  </sheetViews>
  <sheetFormatPr defaultRowHeight="15" x14ac:dyDescent="0.25"/>
  <cols>
    <col min="1" max="1" width="13.42578125" style="11" bestFit="1" customWidth="1"/>
    <col min="2" max="2" width="10.140625" bestFit="1" customWidth="1"/>
    <col min="3" max="3" width="12.7109375" style="42" customWidth="1"/>
    <col min="4" max="4" width="12.7109375" style="41" customWidth="1"/>
    <col min="5" max="6" width="12" bestFit="1" customWidth="1"/>
    <col min="7" max="7" width="9" bestFit="1" customWidth="1"/>
    <col min="8" max="9" width="12" bestFit="1" customWidth="1"/>
  </cols>
  <sheetData>
    <row r="1" spans="1:9" x14ac:dyDescent="0.25">
      <c r="C1" s="73" t="s">
        <v>50</v>
      </c>
      <c r="D1" s="71"/>
      <c r="E1" s="72" t="s">
        <v>177</v>
      </c>
      <c r="F1" s="72"/>
      <c r="H1" s="72" t="s">
        <v>51</v>
      </c>
      <c r="I1" s="72"/>
    </row>
    <row r="2" spans="1:9" x14ac:dyDescent="0.25">
      <c r="A2" s="22" t="s">
        <v>180</v>
      </c>
      <c r="B2" s="48" t="s">
        <v>181</v>
      </c>
      <c r="C2" s="51" t="s">
        <v>52</v>
      </c>
      <c r="D2" s="52" t="s">
        <v>53</v>
      </c>
      <c r="E2" s="57" t="s">
        <v>55</v>
      </c>
      <c r="F2" s="6" t="s">
        <v>56</v>
      </c>
      <c r="G2" s="49" t="s">
        <v>182</v>
      </c>
      <c r="H2" s="51" t="s">
        <v>52</v>
      </c>
      <c r="I2" s="52" t="s">
        <v>53</v>
      </c>
    </row>
    <row r="3" spans="1:9" x14ac:dyDescent="0.25">
      <c r="A3" s="11" t="s">
        <v>42</v>
      </c>
      <c r="B3">
        <v>3847</v>
      </c>
      <c r="C3" s="42">
        <v>7453389.7620000001</v>
      </c>
      <c r="D3" s="41">
        <v>1727060.905</v>
      </c>
      <c r="E3" s="46">
        <f t="array" ref="E3:F3">[1]!transform_grid_to_geodetic(C3,D3,B3)</f>
        <v>67.090681324606933</v>
      </c>
      <c r="F3">
        <v>21.034750437585409</v>
      </c>
      <c r="G3" s="46">
        <v>3006</v>
      </c>
      <c r="H3">
        <f t="array" ref="H3:I3">[1]!transform_geodetic_to_grid(E3,F3,G3)</f>
        <v>7454204.6383341439</v>
      </c>
      <c r="I3">
        <v>761811.24249609106</v>
      </c>
    </row>
    <row r="4" spans="1:9" x14ac:dyDescent="0.25">
      <c r="A4" s="11" t="s">
        <v>43</v>
      </c>
      <c r="B4">
        <v>3847</v>
      </c>
      <c r="C4" s="42">
        <v>7047738.415</v>
      </c>
      <c r="D4" s="41">
        <v>1522128.6370000001</v>
      </c>
      <c r="E4" s="46">
        <f t="array" ref="E4:F4">[1]!transform_grid_to_geodetic(C4,D4,B4)</f>
        <v>63.537433815359663</v>
      </c>
      <c r="F4">
        <v>16.249887396115049</v>
      </c>
      <c r="G4" s="46">
        <v>3006</v>
      </c>
      <c r="H4">
        <f t="array" ref="H4:I4">[1]!transform_geodetic_to_grid(E4,F4,G4)</f>
        <v>7046077.6053922521</v>
      </c>
      <c r="I4">
        <v>562140.33717804099</v>
      </c>
    </row>
    <row r="5" spans="1:9" x14ac:dyDescent="0.25">
      <c r="A5" s="11" t="s">
        <v>44</v>
      </c>
      <c r="B5">
        <v>3847</v>
      </c>
      <c r="C5" s="42">
        <v>6671665.273</v>
      </c>
      <c r="D5" s="41">
        <v>1441843.186</v>
      </c>
      <c r="E5" s="46">
        <f t="array" ref="E5:F5">[1]!transform_grid_to_geodetic(C5,D5,B5)</f>
        <v>60.159411781400209</v>
      </c>
      <c r="F5">
        <v>14.757824208992719</v>
      </c>
      <c r="G5" s="46">
        <v>3006</v>
      </c>
      <c r="H5">
        <f t="array" ref="H5:I5">[1]!transform_geodetic_to_grid(E5,F5,G5)</f>
        <v>6669189.3762501003</v>
      </c>
      <c r="I5">
        <v>486557.05473698187</v>
      </c>
    </row>
    <row r="6" spans="1:9" x14ac:dyDescent="0.25">
      <c r="A6" s="12" t="s">
        <v>45</v>
      </c>
      <c r="B6" s="43">
        <v>3847</v>
      </c>
      <c r="C6" s="45">
        <v>6249111.3509999998</v>
      </c>
      <c r="D6" s="44">
        <v>1380573.0789999999</v>
      </c>
      <c r="E6" s="50">
        <f t="array" ref="E6:F6">[1]!transform_grid_to_geodetic(C6,D6,B6)</f>
        <v>56.354777568077445</v>
      </c>
      <c r="F6" s="56">
        <v>13.873265006085113</v>
      </c>
      <c r="G6" s="50">
        <v>3006</v>
      </c>
      <c r="H6" s="43">
        <f t="array" ref="H6:I6">[1]!transform_geodetic_to_grid(E6,F6,G6)</f>
        <v>6246136.4576177476</v>
      </c>
      <c r="I6" s="43">
        <v>430374.8351956525</v>
      </c>
    </row>
    <row r="7" spans="1:9" x14ac:dyDescent="0.25">
      <c r="A7" s="74"/>
      <c r="B7" s="75"/>
      <c r="C7" s="79" t="str">
        <f>H1</f>
        <v>SWEREF99 TM</v>
      </c>
      <c r="D7" s="80"/>
      <c r="E7" s="81" t="str">
        <f>E1</f>
        <v>SWEREF99</v>
      </c>
      <c r="F7" s="82"/>
      <c r="G7" s="76"/>
      <c r="H7" s="77" t="str">
        <f>C1</f>
        <v>RT90 2.5 gon V</v>
      </c>
      <c r="I7" s="78"/>
    </row>
    <row r="8" spans="1:9" x14ac:dyDescent="0.25">
      <c r="A8" s="11" t="s">
        <v>42</v>
      </c>
      <c r="B8">
        <v>3006</v>
      </c>
      <c r="C8" s="42">
        <f>H3</f>
        <v>7454204.6383341439</v>
      </c>
      <c r="D8" s="41">
        <f>I3</f>
        <v>761811.24249609106</v>
      </c>
      <c r="E8" s="46">
        <f t="array" ref="E8:F8">[1]!transform_grid_to_geodetic(C8,D8,B8)</f>
        <v>67.090681324663365</v>
      </c>
      <c r="F8">
        <v>21.034750437584314</v>
      </c>
      <c r="G8" s="46">
        <v>3847</v>
      </c>
      <c r="H8">
        <f t="array" ref="H8:I8">[1]!transform_geodetic_to_grid(E8,F8,G8)</f>
        <v>7453389.7620125413</v>
      </c>
      <c r="I8">
        <v>1727060.9049988536</v>
      </c>
    </row>
    <row r="9" spans="1:9" x14ac:dyDescent="0.25">
      <c r="A9" s="11" t="s">
        <v>43</v>
      </c>
      <c r="B9">
        <v>3006</v>
      </c>
      <c r="C9" s="42">
        <f t="shared" ref="C9:C11" si="0">H4</f>
        <v>7046077.6053922521</v>
      </c>
      <c r="D9" s="41">
        <f t="shared" ref="D9:D11" si="1">I4</f>
        <v>562140.33717804099</v>
      </c>
      <c r="E9" s="46">
        <f t="array" ref="E9:F9">[1]!transform_grid_to_geodetic(C9,D9,B9)</f>
        <v>63.537433815402551</v>
      </c>
      <c r="F9">
        <v>16.2498873961149</v>
      </c>
      <c r="G9" s="46">
        <v>3847</v>
      </c>
      <c r="H9">
        <f t="array" ref="H9:I9">[1]!transform_geodetic_to_grid(E9,F9,G9)</f>
        <v>7047738.415009561</v>
      </c>
      <c r="I9">
        <v>1522128.6369999233</v>
      </c>
    </row>
    <row r="10" spans="1:9" x14ac:dyDescent="0.25">
      <c r="A10" s="11" t="s">
        <v>44</v>
      </c>
      <c r="B10">
        <v>3006</v>
      </c>
      <c r="C10" s="42">
        <f t="shared" si="0"/>
        <v>6669189.3762501003</v>
      </c>
      <c r="D10" s="41">
        <f t="shared" si="1"/>
        <v>486557.05473698187</v>
      </c>
      <c r="E10" s="46">
        <f t="array" ref="E10:F10">[1]!transform_grid_to_geodetic(C10,D10,B10)</f>
        <v>60.159411781429903</v>
      </c>
      <c r="F10">
        <v>14.757824208992728</v>
      </c>
      <c r="G10" s="46">
        <v>3847</v>
      </c>
      <c r="H10">
        <f t="array" ref="H10:I10">[1]!transform_geodetic_to_grid(E10,F10,G10)</f>
        <v>6671665.2730066171</v>
      </c>
      <c r="I10">
        <v>1441843.1860001085</v>
      </c>
    </row>
    <row r="11" spans="1:9" x14ac:dyDescent="0.25">
      <c r="A11" s="12" t="s">
        <v>45</v>
      </c>
      <c r="B11" s="43">
        <v>3006</v>
      </c>
      <c r="C11" s="45">
        <f t="shared" si="0"/>
        <v>6246136.4576177476</v>
      </c>
      <c r="D11" s="44">
        <f t="shared" si="1"/>
        <v>430374.8351956525</v>
      </c>
      <c r="E11" s="50">
        <f t="array" ref="E11:F11">[1]!transform_grid_to_geodetic(C11,D11,B11)</f>
        <v>56.354777568095557</v>
      </c>
      <c r="F11" s="56">
        <v>13.873265006085072</v>
      </c>
      <c r="G11" s="50">
        <v>3847</v>
      </c>
      <c r="H11" s="43">
        <f t="array" ref="H11:I11">[1]!transform_geodetic_to_grid(E11,F11,G11)</f>
        <v>6249111.3510040343</v>
      </c>
      <c r="I11" s="43">
        <v>1380573.0790001065</v>
      </c>
    </row>
    <row r="13" spans="1:9" s="47" customFormat="1" x14ac:dyDescent="0.25">
      <c r="A13" s="11"/>
      <c r="B13"/>
      <c r="C13" s="42"/>
      <c r="D13" s="41"/>
      <c r="G13"/>
    </row>
    <row r="14" spans="1:9" s="47" customFormat="1" x14ac:dyDescent="0.25">
      <c r="A14" s="11"/>
      <c r="B14"/>
      <c r="C14" s="42"/>
      <c r="D14" s="41"/>
      <c r="G14"/>
    </row>
    <row r="15" spans="1:9" s="47" customFormat="1" x14ac:dyDescent="0.25">
      <c r="A15" s="11"/>
      <c r="B15"/>
      <c r="C15" s="42"/>
      <c r="D15" s="41"/>
      <c r="G15"/>
    </row>
    <row r="16" spans="1:9" s="47" customFormat="1" x14ac:dyDescent="0.25">
      <c r="A16" s="11"/>
      <c r="B16"/>
      <c r="C16" s="42"/>
      <c r="D16" s="41"/>
      <c r="G16"/>
    </row>
  </sheetData>
  <mergeCells count="6">
    <mergeCell ref="C1:D1"/>
    <mergeCell ref="E1:F1"/>
    <mergeCell ref="H1:I1"/>
    <mergeCell ref="C7:D7"/>
    <mergeCell ref="E7:F7"/>
    <mergeCell ref="H7:I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8463-4B91-4E54-AB94-608686815136}">
  <dimension ref="A1:E6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3.42578125" style="11" bestFit="1" customWidth="1"/>
    <col min="2" max="3" width="12.7109375" style="41" customWidth="1"/>
    <col min="4" max="4" width="12" bestFit="1" customWidth="1"/>
    <col min="5" max="5" width="11" bestFit="1" customWidth="1"/>
  </cols>
  <sheetData>
    <row r="1" spans="1:5" x14ac:dyDescent="0.25">
      <c r="B1" s="71" t="s">
        <v>50</v>
      </c>
      <c r="C1" s="71"/>
      <c r="D1" s="72" t="s">
        <v>51</v>
      </c>
      <c r="E1" s="72"/>
    </row>
    <row r="2" spans="1:5" x14ac:dyDescent="0.25">
      <c r="A2" s="59" t="s">
        <v>180</v>
      </c>
      <c r="B2" s="60" t="s">
        <v>52</v>
      </c>
      <c r="C2" s="60" t="s">
        <v>53</v>
      </c>
      <c r="D2" s="60" t="s">
        <v>52</v>
      </c>
      <c r="E2" s="60" t="s">
        <v>53</v>
      </c>
    </row>
    <row r="3" spans="1:5" x14ac:dyDescent="0.25">
      <c r="A3" s="11" t="s">
        <v>42</v>
      </c>
      <c r="B3" s="41">
        <v>7453389.7620000001</v>
      </c>
      <c r="C3" s="41">
        <v>1727060.905</v>
      </c>
      <c r="D3">
        <v>7454204.6380000003</v>
      </c>
      <c r="E3">
        <v>761811.24199999997</v>
      </c>
    </row>
    <row r="4" spans="1:5" x14ac:dyDescent="0.25">
      <c r="A4" s="11" t="s">
        <v>43</v>
      </c>
      <c r="B4" s="41">
        <v>7047738.415</v>
      </c>
      <c r="C4" s="41">
        <v>1522128.6370000001</v>
      </c>
      <c r="D4">
        <v>7046077.6050000004</v>
      </c>
      <c r="E4">
        <v>562140.33700000006</v>
      </c>
    </row>
    <row r="5" spans="1:5" x14ac:dyDescent="0.25">
      <c r="A5" s="11" t="s">
        <v>44</v>
      </c>
      <c r="B5" s="41">
        <v>6671665.273</v>
      </c>
      <c r="C5" s="41">
        <v>1441843.186</v>
      </c>
      <c r="D5">
        <v>6669189.3760000002</v>
      </c>
      <c r="E5">
        <v>486557.05499999999</v>
      </c>
    </row>
    <row r="6" spans="1:5" x14ac:dyDescent="0.25">
      <c r="A6" s="11" t="s">
        <v>45</v>
      </c>
      <c r="B6" s="41">
        <v>6249111.3509999998</v>
      </c>
      <c r="C6" s="41">
        <v>1380573.0789999999</v>
      </c>
      <c r="D6">
        <v>6246136.4579999996</v>
      </c>
      <c r="E6">
        <v>430374.83500000002</v>
      </c>
    </row>
  </sheetData>
  <mergeCells count="2">
    <mergeCell ref="B1:C1"/>
    <mergeCell ref="D1:E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Blad3"/>
  <dimension ref="A1:H17"/>
  <sheetViews>
    <sheetView workbookViewId="0">
      <selection activeCell="A2" sqref="A2"/>
    </sheetView>
  </sheetViews>
  <sheetFormatPr defaultRowHeight="15" x14ac:dyDescent="0.25"/>
  <cols>
    <col min="3" max="3" width="11.5703125" style="41" bestFit="1" customWidth="1"/>
    <col min="4" max="4" width="10.5703125" style="41" bestFit="1" customWidth="1"/>
    <col min="5" max="5" width="11.7109375" style="41" bestFit="1" customWidth="1"/>
    <col min="6" max="7" width="11.5703125" style="41" bestFit="1" customWidth="1"/>
    <col min="8" max="8" width="10.5703125" style="41" bestFit="1" customWidth="1"/>
  </cols>
  <sheetData>
    <row r="1" spans="1:8" x14ac:dyDescent="0.25">
      <c r="A1" s="72" t="s">
        <v>176</v>
      </c>
      <c r="B1" s="72"/>
      <c r="C1" s="71" t="s">
        <v>51</v>
      </c>
      <c r="D1" s="71"/>
      <c r="E1" s="73" t="s">
        <v>178</v>
      </c>
      <c r="F1" s="71"/>
      <c r="G1" s="71" t="s">
        <v>51</v>
      </c>
      <c r="H1" s="71"/>
    </row>
    <row r="2" spans="1:8" x14ac:dyDescent="0.25">
      <c r="A2" s="43" t="s">
        <v>55</v>
      </c>
      <c r="B2" s="43" t="s">
        <v>56</v>
      </c>
      <c r="C2" s="44" t="s">
        <v>52</v>
      </c>
      <c r="D2" s="44" t="s">
        <v>53</v>
      </c>
      <c r="E2" s="45" t="s">
        <v>55</v>
      </c>
      <c r="F2" s="44" t="s">
        <v>56</v>
      </c>
      <c r="G2" s="44" t="s">
        <v>52</v>
      </c>
      <c r="H2" s="44" t="s">
        <v>53</v>
      </c>
    </row>
    <row r="3" spans="1:8" x14ac:dyDescent="0.25">
      <c r="A3" t="s">
        <v>98</v>
      </c>
      <c r="B3" t="s">
        <v>97</v>
      </c>
      <c r="C3" s="41">
        <v>6097106.6720000003</v>
      </c>
      <c r="D3" s="41">
        <v>356083.43800000002</v>
      </c>
      <c r="E3" s="42">
        <f t="shared" ref="E3" si="0">VALUE(LEFT(A3,FIND("°",A3)-1))+(VALUE(MID(A3,4,2))/60)</f>
        <v>55</v>
      </c>
      <c r="F3" s="41">
        <f t="shared" ref="F3" si="1">VALUE(LEFT(B3,FIND("°",B3)-1))+(VALUE(MID(B3,4,2))/60)</f>
        <v>12.75</v>
      </c>
      <c r="G3" s="41">
        <f t="array" ref="G3:H3">[1]!transform_geodetic_to_grid(E3,F3,3006)</f>
        <v>6097106.6715170946</v>
      </c>
      <c r="H3" s="41">
        <v>356083.43767831242</v>
      </c>
    </row>
    <row r="4" spans="1:8" x14ac:dyDescent="0.25">
      <c r="A4" t="s">
        <v>98</v>
      </c>
      <c r="B4" t="s">
        <v>101</v>
      </c>
      <c r="C4" s="41">
        <v>6095048.642</v>
      </c>
      <c r="D4" s="41">
        <v>452024.06900000002</v>
      </c>
      <c r="E4" s="42">
        <f t="shared" ref="E4:E17" si="2">VALUE(LEFT(A4,FIND("°",A4)-1))+(VALUE(MID(A4,4,2))/60)</f>
        <v>55</v>
      </c>
      <c r="F4" s="41">
        <f t="shared" ref="F4:F17" si="3">VALUE(LEFT(B4,FIND("°",B4)-1))+(VALUE(MID(B4,4,2))/60)</f>
        <v>14.25</v>
      </c>
      <c r="G4" s="41">
        <f t="array" ref="G4:H4">[1]!transform_geodetic_to_grid(E4,F4,3006)</f>
        <v>6095048.6421482647</v>
      </c>
      <c r="H4" s="41">
        <v>452024.06890416867</v>
      </c>
    </row>
    <row r="5" spans="1:8" x14ac:dyDescent="0.25">
      <c r="A5" t="s">
        <v>94</v>
      </c>
      <c r="B5" t="s">
        <v>97</v>
      </c>
      <c r="C5" s="41">
        <v>6319636.9369999999</v>
      </c>
      <c r="D5" s="41">
        <v>363331.554</v>
      </c>
      <c r="E5" s="42">
        <f t="shared" si="2"/>
        <v>57</v>
      </c>
      <c r="F5" s="41">
        <f t="shared" si="3"/>
        <v>12.75</v>
      </c>
      <c r="G5" s="41">
        <f t="array" ref="G5:H5">[1]!transform_geodetic_to_grid(E5,F5,3006)</f>
        <v>6319636.9372383747</v>
      </c>
      <c r="H5" s="41">
        <v>363331.55376344279</v>
      </c>
    </row>
    <row r="6" spans="1:8" x14ac:dyDescent="0.25">
      <c r="A6" t="s">
        <v>94</v>
      </c>
      <c r="B6" t="s">
        <v>112</v>
      </c>
      <c r="C6" s="41">
        <v>6326392.7070000004</v>
      </c>
      <c r="D6" s="41">
        <v>773251.054</v>
      </c>
      <c r="E6" s="42">
        <f t="shared" si="2"/>
        <v>57</v>
      </c>
      <c r="F6" s="41">
        <f t="shared" si="3"/>
        <v>19.5</v>
      </c>
      <c r="G6" s="41">
        <f t="array" ref="G6:H6">[1]!transform_geodetic_to_grid(E6,F6,3006)</f>
        <v>6326392.7067679921</v>
      </c>
      <c r="H6" s="41">
        <v>773251.05370512349</v>
      </c>
    </row>
    <row r="7" spans="1:8" x14ac:dyDescent="0.25">
      <c r="A7" t="s">
        <v>96</v>
      </c>
      <c r="B7" t="s">
        <v>95</v>
      </c>
      <c r="C7" s="41">
        <v>6546096.7240000004</v>
      </c>
      <c r="D7" s="41">
        <v>284626.06599999999</v>
      </c>
      <c r="E7" s="42">
        <f t="shared" si="2"/>
        <v>59</v>
      </c>
      <c r="F7" s="41">
        <f t="shared" si="3"/>
        <v>11.25</v>
      </c>
      <c r="G7" s="41">
        <f t="array" ref="G7:H7">[1]!transform_geodetic_to_grid(E7,F7,3006)</f>
        <v>6546096.7238604678</v>
      </c>
      <c r="H7" s="41">
        <v>284626.06648020248</v>
      </c>
    </row>
    <row r="8" spans="1:8" x14ac:dyDescent="0.25">
      <c r="A8" t="s">
        <v>96</v>
      </c>
      <c r="B8" t="s">
        <v>112</v>
      </c>
      <c r="C8" s="41">
        <v>6548757.2060000002</v>
      </c>
      <c r="D8" s="41">
        <v>758410.51899999997</v>
      </c>
      <c r="E8" s="42">
        <f t="shared" si="2"/>
        <v>59</v>
      </c>
      <c r="F8" s="41">
        <f t="shared" si="3"/>
        <v>19.5</v>
      </c>
      <c r="G8" s="41">
        <f t="array" ref="G8:H8">[1]!transform_geodetic_to_grid(E8,F8,3006)</f>
        <v>6548757.2060435526</v>
      </c>
      <c r="H8" s="41">
        <v>758410.51856423169</v>
      </c>
    </row>
    <row r="9" spans="1:8" x14ac:dyDescent="0.25">
      <c r="A9" t="s">
        <v>99</v>
      </c>
      <c r="B9" t="s">
        <v>97</v>
      </c>
      <c r="C9" s="41">
        <v>6764877.3109999998</v>
      </c>
      <c r="D9" s="41">
        <v>378323.44</v>
      </c>
      <c r="E9" s="42">
        <f t="shared" si="2"/>
        <v>61</v>
      </c>
      <c r="F9" s="41">
        <f t="shared" si="3"/>
        <v>12.75</v>
      </c>
      <c r="G9" s="41">
        <f t="array" ref="G9:H9">[1]!transform_geodetic_to_grid(E9,F9,3006)</f>
        <v>6764877.3112537693</v>
      </c>
      <c r="H9" s="41">
        <v>378323.43955990335</v>
      </c>
    </row>
    <row r="10" spans="1:8" x14ac:dyDescent="0.25">
      <c r="A10" t="s">
        <v>99</v>
      </c>
      <c r="B10" t="s">
        <v>111</v>
      </c>
      <c r="C10" s="41">
        <v>6768593.3449999997</v>
      </c>
      <c r="D10" s="41">
        <v>702745.12699999998</v>
      </c>
      <c r="E10" s="42">
        <f t="shared" si="2"/>
        <v>61</v>
      </c>
      <c r="F10" s="41">
        <f t="shared" si="3"/>
        <v>18.75</v>
      </c>
      <c r="G10" s="41">
        <f t="array" ref="G10:H10">[1]!transform_geodetic_to_grid(E10,F10,3006)</f>
        <v>6768593.3450898221</v>
      </c>
      <c r="H10" s="41">
        <v>702745.12732815486</v>
      </c>
    </row>
    <row r="11" spans="1:8" x14ac:dyDescent="0.25">
      <c r="A11" t="s">
        <v>100</v>
      </c>
      <c r="B11" t="s">
        <v>102</v>
      </c>
      <c r="C11" s="41">
        <v>6989134.0480000004</v>
      </c>
      <c r="D11" s="41">
        <v>348083.14799999999</v>
      </c>
      <c r="E11" s="42">
        <f t="shared" si="2"/>
        <v>63</v>
      </c>
      <c r="F11" s="41">
        <f t="shared" si="3"/>
        <v>12</v>
      </c>
      <c r="G11" s="41">
        <f t="array" ref="G11:H11">[1]!transform_geodetic_to_grid(E11,F11,3006)</f>
        <v>6989134.0481153782</v>
      </c>
      <c r="H11" s="41">
        <v>348083.14753326867</v>
      </c>
    </row>
    <row r="12" spans="1:8" x14ac:dyDescent="0.25">
      <c r="A12" t="s">
        <v>100</v>
      </c>
      <c r="B12" t="s">
        <v>112</v>
      </c>
      <c r="C12" s="41">
        <v>6993565.6299999999</v>
      </c>
      <c r="D12" s="41">
        <v>727798.67099999997</v>
      </c>
      <c r="E12" s="42">
        <f t="shared" si="2"/>
        <v>63</v>
      </c>
      <c r="F12" s="41">
        <f t="shared" si="3"/>
        <v>19.5</v>
      </c>
      <c r="G12" s="41">
        <f t="array" ref="G12:H12">[1]!transform_geodetic_to_grid(E12,F12,3006)</f>
        <v>6993565.6301328447</v>
      </c>
      <c r="H12" s="41">
        <v>727798.67097899143</v>
      </c>
    </row>
    <row r="13" spans="1:8" x14ac:dyDescent="0.25">
      <c r="A13" t="s">
        <v>103</v>
      </c>
      <c r="B13" t="s">
        <v>104</v>
      </c>
      <c r="C13" s="41">
        <v>7209293.7529999996</v>
      </c>
      <c r="D13" s="41">
        <v>429270.201</v>
      </c>
      <c r="E13" s="42">
        <f t="shared" si="2"/>
        <v>65</v>
      </c>
      <c r="F13" s="41">
        <f t="shared" si="3"/>
        <v>13.5</v>
      </c>
      <c r="G13" s="41">
        <f t="array" ref="G13:H13">[1]!transform_geodetic_to_grid(E13,F13,3006)</f>
        <v>7209293.7525500348</v>
      </c>
      <c r="H13" s="41">
        <v>429270.2013250452</v>
      </c>
    </row>
    <row r="14" spans="1:8" x14ac:dyDescent="0.25">
      <c r="A14" t="s">
        <v>103</v>
      </c>
      <c r="B14" t="s">
        <v>117</v>
      </c>
      <c r="C14" s="41">
        <v>7225449.1150000002</v>
      </c>
      <c r="D14" s="41">
        <v>817833.40500000003</v>
      </c>
      <c r="E14" s="42">
        <f t="shared" si="2"/>
        <v>65</v>
      </c>
      <c r="F14" s="41">
        <f t="shared" si="3"/>
        <v>21.75</v>
      </c>
      <c r="G14" s="41">
        <f t="array" ref="G14:H14">[1]!transform_geodetic_to_grid(E14,F14,3006)</f>
        <v>7225449.1150911143</v>
      </c>
      <c r="H14" s="41">
        <v>817833.40466971113</v>
      </c>
    </row>
    <row r="15" spans="1:8" x14ac:dyDescent="0.25">
      <c r="A15" t="s">
        <v>107</v>
      </c>
      <c r="B15" t="s">
        <v>108</v>
      </c>
      <c r="C15" s="41">
        <v>7432168.1739999996</v>
      </c>
      <c r="D15" s="41">
        <v>565398.45799999998</v>
      </c>
      <c r="E15" s="42">
        <f t="shared" si="2"/>
        <v>67</v>
      </c>
      <c r="F15" s="41">
        <f t="shared" si="3"/>
        <v>16.5</v>
      </c>
      <c r="G15" s="41">
        <f t="array" ref="G15:H15">[1]!transform_geodetic_to_grid(E15,F15,3006)</f>
        <v>7432168.174078906</v>
      </c>
      <c r="H15" s="41">
        <v>565398.45846045925</v>
      </c>
    </row>
    <row r="16" spans="1:8" x14ac:dyDescent="0.25">
      <c r="A16" t="s">
        <v>107</v>
      </c>
      <c r="B16" t="s">
        <v>116</v>
      </c>
      <c r="C16" s="41">
        <v>7459745.6720000003</v>
      </c>
      <c r="D16" s="41">
        <v>891298.14199999999</v>
      </c>
      <c r="E16" s="42">
        <f t="shared" si="2"/>
        <v>67</v>
      </c>
      <c r="F16" s="41">
        <f t="shared" si="3"/>
        <v>24</v>
      </c>
      <c r="G16" s="41">
        <f t="array" ref="G16:H16">[1]!transform_geodetic_to_grid(E16,F16,3006)</f>
        <v>7459745.6725002844</v>
      </c>
      <c r="H16" s="41">
        <v>891298.14234199445</v>
      </c>
    </row>
    <row r="17" spans="1:8" x14ac:dyDescent="0.25">
      <c r="A17" t="s">
        <v>113</v>
      </c>
      <c r="B17" t="s">
        <v>114</v>
      </c>
      <c r="C17" s="41">
        <v>7666089.6979999999</v>
      </c>
      <c r="D17" s="41">
        <v>739639.19499999995</v>
      </c>
      <c r="E17" s="42">
        <f t="shared" si="2"/>
        <v>69</v>
      </c>
      <c r="F17" s="41">
        <f t="shared" si="3"/>
        <v>21</v>
      </c>
      <c r="G17" s="41">
        <f t="array" ref="G17:H17">[1]!transform_geodetic_to_grid(E17,F17,3006)</f>
        <v>7666089.6975450497</v>
      </c>
      <c r="H17" s="41">
        <v>739639.19478615851</v>
      </c>
    </row>
  </sheetData>
  <mergeCells count="4">
    <mergeCell ref="C1:D1"/>
    <mergeCell ref="A1:B1"/>
    <mergeCell ref="E1:F1"/>
    <mergeCell ref="G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Blad1"/>
  <dimension ref="A1:J7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" sqref="E1:F1"/>
    </sheetView>
  </sheetViews>
  <sheetFormatPr defaultRowHeight="15" x14ac:dyDescent="0.25"/>
  <cols>
    <col min="1" max="1" width="19.140625" bestFit="1" customWidth="1"/>
    <col min="3" max="3" width="11.5703125" bestFit="1" customWidth="1"/>
    <col min="5" max="5" width="12" bestFit="1" customWidth="1"/>
    <col min="6" max="6" width="11" bestFit="1" customWidth="1"/>
    <col min="7" max="7" width="11.5703125" bestFit="1" customWidth="1"/>
    <col min="9" max="10" width="12" bestFit="1" customWidth="1"/>
  </cols>
  <sheetData>
    <row r="1" spans="1:10" x14ac:dyDescent="0.25">
      <c r="C1" s="72" t="s">
        <v>176</v>
      </c>
      <c r="D1" s="72"/>
      <c r="E1" s="71" t="s">
        <v>179</v>
      </c>
      <c r="F1" s="71"/>
      <c r="G1" s="73" t="s">
        <v>178</v>
      </c>
      <c r="H1" s="71"/>
      <c r="I1" s="72" t="s">
        <v>179</v>
      </c>
      <c r="J1" s="72"/>
    </row>
    <row r="2" spans="1:10" x14ac:dyDescent="0.25">
      <c r="A2" s="6" t="s">
        <v>175</v>
      </c>
      <c r="B2" s="6" t="s">
        <v>128</v>
      </c>
      <c r="C2" t="s">
        <v>55</v>
      </c>
      <c r="D2" t="s">
        <v>56</v>
      </c>
      <c r="E2" t="s">
        <v>52</v>
      </c>
      <c r="F2" t="s">
        <v>53</v>
      </c>
      <c r="G2" s="46" t="s">
        <v>55</v>
      </c>
      <c r="H2" t="s">
        <v>56</v>
      </c>
      <c r="I2" t="s">
        <v>52</v>
      </c>
      <c r="J2" t="s">
        <v>53</v>
      </c>
    </row>
    <row r="3" spans="1:10" x14ac:dyDescent="0.25">
      <c r="A3" t="s">
        <v>155</v>
      </c>
      <c r="B3">
        <v>3007</v>
      </c>
      <c r="C3" t="s">
        <v>94</v>
      </c>
      <c r="D3" t="s">
        <v>95</v>
      </c>
      <c r="E3">
        <v>6320164.0769999996</v>
      </c>
      <c r="F3">
        <v>104421.39</v>
      </c>
      <c r="G3" s="42">
        <f>VALUE(LEFT(C3,FIND("°",C3)-1))+(VALUE(MID(C3,4,2))/60)</f>
        <v>57</v>
      </c>
      <c r="H3" s="41">
        <f>VALUE(LEFT(D3,FIND("°",D3)-1))+(VALUE(MID(D3,4,2))/60)</f>
        <v>11.25</v>
      </c>
      <c r="I3">
        <f t="array" ref="I3:J3">[1]!transform_geodetic_to_grid(G3,H3,B3)</f>
        <v>6320164.0767487548</v>
      </c>
      <c r="J3">
        <v>104421.38973252589</v>
      </c>
    </row>
    <row r="4" spans="1:10" x14ac:dyDescent="0.25">
      <c r="A4" t="s">
        <v>155</v>
      </c>
      <c r="B4">
        <v>3007</v>
      </c>
      <c r="C4" t="s">
        <v>96</v>
      </c>
      <c r="D4" t="s">
        <v>95</v>
      </c>
      <c r="E4">
        <v>6542910.9210000001</v>
      </c>
      <c r="F4">
        <v>106894.103</v>
      </c>
      <c r="G4" s="42">
        <f t="shared" ref="G4:G67" si="0">VALUE(LEFT(C4,FIND("°",C4)-1))+(VALUE(MID(C4,4,2))/60)</f>
        <v>59</v>
      </c>
      <c r="H4" s="41">
        <f t="shared" ref="H4:H67" si="1">VALUE(LEFT(D4,FIND("°",D4)-1))+(VALUE(MID(D4,4,2))/60)</f>
        <v>11.25</v>
      </c>
      <c r="I4">
        <f t="array" ref="I4:J4">[1]!transform_geodetic_to_grid(G4,H4,B4)</f>
        <v>6542910.9207595512</v>
      </c>
      <c r="J4">
        <v>106894.10275529543</v>
      </c>
    </row>
    <row r="5" spans="1:10" x14ac:dyDescent="0.25">
      <c r="A5" t="s">
        <v>155</v>
      </c>
      <c r="B5">
        <v>3007</v>
      </c>
      <c r="C5" t="s">
        <v>94</v>
      </c>
      <c r="D5" t="s">
        <v>97</v>
      </c>
      <c r="E5">
        <v>6320164.0769999996</v>
      </c>
      <c r="F5">
        <v>195578.61</v>
      </c>
      <c r="G5" s="42">
        <f t="shared" si="0"/>
        <v>57</v>
      </c>
      <c r="H5" s="41">
        <f t="shared" si="1"/>
        <v>12.75</v>
      </c>
      <c r="I5">
        <f t="array" ref="I5:J5">[1]!transform_geodetic_to_grid(G5,H5,B5)</f>
        <v>6320164.0767487548</v>
      </c>
      <c r="J5">
        <v>195578.61026747391</v>
      </c>
    </row>
    <row r="6" spans="1:10" x14ac:dyDescent="0.25">
      <c r="A6" t="s">
        <v>155</v>
      </c>
      <c r="B6">
        <v>3007</v>
      </c>
      <c r="C6" t="s">
        <v>96</v>
      </c>
      <c r="D6" t="s">
        <v>97</v>
      </c>
      <c r="E6">
        <v>6542910.9210000001</v>
      </c>
      <c r="F6">
        <v>193105.897</v>
      </c>
      <c r="G6" s="42">
        <f t="shared" si="0"/>
        <v>59</v>
      </c>
      <c r="H6" s="41">
        <f t="shared" si="1"/>
        <v>12.75</v>
      </c>
      <c r="I6">
        <f t="array" ref="I6:J6">[1]!transform_geodetic_to_grid(G6,H6,B6)</f>
        <v>6542910.9207595512</v>
      </c>
      <c r="J6">
        <v>193105.89724470468</v>
      </c>
    </row>
    <row r="7" spans="1:10" x14ac:dyDescent="0.25">
      <c r="A7" t="s">
        <v>156</v>
      </c>
      <c r="B7">
        <v>3008</v>
      </c>
      <c r="C7" t="s">
        <v>98</v>
      </c>
      <c r="D7" t="s">
        <v>97</v>
      </c>
      <c r="E7">
        <v>6097487.6370000001</v>
      </c>
      <c r="F7">
        <v>102004.871</v>
      </c>
      <c r="G7" s="42">
        <f t="shared" si="0"/>
        <v>55</v>
      </c>
      <c r="H7" s="41">
        <f t="shared" si="1"/>
        <v>12.75</v>
      </c>
      <c r="I7">
        <f t="array" ref="I7:J7">[1]!transform_geodetic_to_grid(G7,H7,B7)</f>
        <v>6097487.6372031458</v>
      </c>
      <c r="J7">
        <v>102004.8708525097</v>
      </c>
    </row>
    <row r="8" spans="1:10" x14ac:dyDescent="0.25">
      <c r="A8" t="s">
        <v>156</v>
      </c>
      <c r="B8">
        <v>3008</v>
      </c>
      <c r="C8" t="s">
        <v>94</v>
      </c>
      <c r="D8" t="s">
        <v>97</v>
      </c>
      <c r="E8">
        <v>6320164.0769999996</v>
      </c>
      <c r="F8">
        <v>104421.39</v>
      </c>
      <c r="G8" s="42">
        <f t="shared" si="0"/>
        <v>57</v>
      </c>
      <c r="H8" s="41">
        <f t="shared" si="1"/>
        <v>12.75</v>
      </c>
      <c r="I8">
        <f t="array" ref="I8:J8">[1]!transform_geodetic_to_grid(G8,H8,B8)</f>
        <v>6320164.0767487548</v>
      </c>
      <c r="J8">
        <v>104421.38973252589</v>
      </c>
    </row>
    <row r="9" spans="1:10" x14ac:dyDescent="0.25">
      <c r="A9" t="s">
        <v>156</v>
      </c>
      <c r="B9">
        <v>3008</v>
      </c>
      <c r="C9" t="s">
        <v>96</v>
      </c>
      <c r="D9" t="s">
        <v>97</v>
      </c>
      <c r="E9">
        <v>6542910.9210000001</v>
      </c>
      <c r="F9">
        <v>106894.103</v>
      </c>
      <c r="G9" s="42">
        <f t="shared" si="0"/>
        <v>59</v>
      </c>
      <c r="H9" s="41">
        <f t="shared" si="1"/>
        <v>12.75</v>
      </c>
      <c r="I9">
        <f t="array" ref="I9:J9">[1]!transform_geodetic_to_grid(G9,H9,B9)</f>
        <v>6542910.9207595512</v>
      </c>
      <c r="J9">
        <v>106894.10275529543</v>
      </c>
    </row>
    <row r="10" spans="1:10" x14ac:dyDescent="0.25">
      <c r="A10" t="s">
        <v>156</v>
      </c>
      <c r="B10">
        <v>3008</v>
      </c>
      <c r="C10" t="s">
        <v>99</v>
      </c>
      <c r="D10" t="s">
        <v>97</v>
      </c>
      <c r="E10">
        <v>6765725.8470000001</v>
      </c>
      <c r="F10">
        <v>109420.005</v>
      </c>
      <c r="G10" s="42">
        <f t="shared" si="0"/>
        <v>61</v>
      </c>
      <c r="H10" s="41">
        <f t="shared" si="1"/>
        <v>12.75</v>
      </c>
      <c r="I10">
        <f t="array" ref="I10:J10">[1]!transform_geodetic_to_grid(G10,H10,B10)</f>
        <v>6765725.8471382614</v>
      </c>
      <c r="J10">
        <v>109420.00506823188</v>
      </c>
    </row>
    <row r="11" spans="1:10" x14ac:dyDescent="0.25">
      <c r="A11" t="s">
        <v>156</v>
      </c>
      <c r="B11">
        <v>3008</v>
      </c>
      <c r="C11" t="s">
        <v>100</v>
      </c>
      <c r="D11" t="s">
        <v>97</v>
      </c>
      <c r="E11">
        <v>6988606.1979999999</v>
      </c>
      <c r="F11">
        <v>111996.02</v>
      </c>
      <c r="G11" s="42">
        <f t="shared" si="0"/>
        <v>63</v>
      </c>
      <c r="H11" s="41">
        <f t="shared" si="1"/>
        <v>12.75</v>
      </c>
      <c r="I11">
        <f t="array" ref="I11:J11">[1]!transform_geodetic_to_grid(G11,H11,B11)</f>
        <v>6988606.198190474</v>
      </c>
      <c r="J11">
        <v>111996.01963891141</v>
      </c>
    </row>
    <row r="12" spans="1:10" x14ac:dyDescent="0.25">
      <c r="A12" t="s">
        <v>156</v>
      </c>
      <c r="B12">
        <v>3008</v>
      </c>
      <c r="C12" t="s">
        <v>98</v>
      </c>
      <c r="D12" t="s">
        <v>101</v>
      </c>
      <c r="E12">
        <v>6097487.6370000001</v>
      </c>
      <c r="F12">
        <v>197995.12899999999</v>
      </c>
      <c r="G12" s="42">
        <f t="shared" si="0"/>
        <v>55</v>
      </c>
      <c r="H12" s="41">
        <f t="shared" si="1"/>
        <v>14.25</v>
      </c>
      <c r="I12">
        <f t="array" ref="I12:J12">[1]!transform_geodetic_to_grid(G12,H12,B12)</f>
        <v>6097487.6372031458</v>
      </c>
      <c r="J12">
        <v>197995.12914749025</v>
      </c>
    </row>
    <row r="13" spans="1:10" x14ac:dyDescent="0.25">
      <c r="A13" t="s">
        <v>156</v>
      </c>
      <c r="B13">
        <v>3008</v>
      </c>
      <c r="C13" t="s">
        <v>94</v>
      </c>
      <c r="D13" t="s">
        <v>101</v>
      </c>
      <c r="E13">
        <v>6320164.0769999996</v>
      </c>
      <c r="F13">
        <v>195578.61</v>
      </c>
      <c r="G13" s="42">
        <f t="shared" si="0"/>
        <v>57</v>
      </c>
      <c r="H13" s="41">
        <f t="shared" si="1"/>
        <v>14.25</v>
      </c>
      <c r="I13">
        <f t="array" ref="I13:J13">[1]!transform_geodetic_to_grid(G13,H13,B13)</f>
        <v>6320164.0767487548</v>
      </c>
      <c r="J13">
        <v>195578.61026747391</v>
      </c>
    </row>
    <row r="14" spans="1:10" x14ac:dyDescent="0.25">
      <c r="A14" t="s">
        <v>156</v>
      </c>
      <c r="B14">
        <v>3008</v>
      </c>
      <c r="C14" t="s">
        <v>96</v>
      </c>
      <c r="D14" t="s">
        <v>101</v>
      </c>
      <c r="E14">
        <v>6542910.9210000001</v>
      </c>
      <c r="F14">
        <v>193105.897</v>
      </c>
      <c r="G14" s="42">
        <f t="shared" si="0"/>
        <v>59</v>
      </c>
      <c r="H14" s="41">
        <f t="shared" si="1"/>
        <v>14.25</v>
      </c>
      <c r="I14">
        <f t="array" ref="I14:J14">[1]!transform_geodetic_to_grid(G14,H14,B14)</f>
        <v>6542910.9207595512</v>
      </c>
      <c r="J14">
        <v>193105.89724470468</v>
      </c>
    </row>
    <row r="15" spans="1:10" x14ac:dyDescent="0.25">
      <c r="A15" t="s">
        <v>156</v>
      </c>
      <c r="B15">
        <v>3008</v>
      </c>
      <c r="C15" t="s">
        <v>99</v>
      </c>
      <c r="D15" t="s">
        <v>101</v>
      </c>
      <c r="E15">
        <v>6765725.8470000001</v>
      </c>
      <c r="F15">
        <v>190579.995</v>
      </c>
      <c r="G15" s="42">
        <f t="shared" si="0"/>
        <v>61</v>
      </c>
      <c r="H15" s="41">
        <f t="shared" si="1"/>
        <v>14.25</v>
      </c>
      <c r="I15">
        <f t="array" ref="I15:J15">[1]!transform_geodetic_to_grid(G15,H15,B15)</f>
        <v>6765725.8471382614</v>
      </c>
      <c r="J15">
        <v>190579.99493176819</v>
      </c>
    </row>
    <row r="16" spans="1:10" x14ac:dyDescent="0.25">
      <c r="A16" t="s">
        <v>157</v>
      </c>
      <c r="B16">
        <v>3012</v>
      </c>
      <c r="C16" t="s">
        <v>100</v>
      </c>
      <c r="D16" t="s">
        <v>102</v>
      </c>
      <c r="E16">
        <v>6990379.2879999997</v>
      </c>
      <c r="F16">
        <v>36003.366999999998</v>
      </c>
      <c r="G16" s="42">
        <f t="shared" si="0"/>
        <v>63</v>
      </c>
      <c r="H16" s="41">
        <f t="shared" si="1"/>
        <v>12</v>
      </c>
      <c r="I16">
        <f t="array" ref="I16:J16">[1]!transform_geodetic_to_grid(G16,H16,B16)</f>
        <v>6990379.2878306201</v>
      </c>
      <c r="J16">
        <v>36003.366782116776</v>
      </c>
    </row>
    <row r="17" spans="1:10" x14ac:dyDescent="0.25">
      <c r="A17" t="s">
        <v>157</v>
      </c>
      <c r="B17">
        <v>3012</v>
      </c>
      <c r="C17" t="s">
        <v>103</v>
      </c>
      <c r="D17" t="s">
        <v>104</v>
      </c>
      <c r="E17">
        <v>7211548.9929999998</v>
      </c>
      <c r="F17">
        <v>114619.001</v>
      </c>
      <c r="G17" s="42">
        <f t="shared" si="0"/>
        <v>65</v>
      </c>
      <c r="H17" s="41">
        <f t="shared" si="1"/>
        <v>13.5</v>
      </c>
      <c r="I17">
        <f t="array" ref="I17:J17">[1]!transform_geodetic_to_grid(G17,H17,B17)</f>
        <v>7211548.9932358833</v>
      </c>
      <c r="J17">
        <v>114619.00099205202</v>
      </c>
    </row>
    <row r="18" spans="1:10" x14ac:dyDescent="0.25">
      <c r="A18" t="s">
        <v>157</v>
      </c>
      <c r="B18">
        <v>3012</v>
      </c>
      <c r="C18" t="s">
        <v>100</v>
      </c>
      <c r="D18" t="s">
        <v>105</v>
      </c>
      <c r="E18">
        <v>6988606.1979999999</v>
      </c>
      <c r="F18">
        <v>188003.98</v>
      </c>
      <c r="G18" s="42">
        <f t="shared" si="0"/>
        <v>63</v>
      </c>
      <c r="H18" s="41">
        <f t="shared" si="1"/>
        <v>15</v>
      </c>
      <c r="I18">
        <f t="array" ref="I18:J18">[1]!transform_geodetic_to_grid(G18,H18,B18)</f>
        <v>6988606.198190474</v>
      </c>
      <c r="J18">
        <v>188003.98036108905</v>
      </c>
    </row>
    <row r="19" spans="1:10" x14ac:dyDescent="0.25">
      <c r="A19" t="s">
        <v>157</v>
      </c>
      <c r="B19">
        <v>3012</v>
      </c>
      <c r="C19" t="s">
        <v>103</v>
      </c>
      <c r="D19" t="s">
        <v>105</v>
      </c>
      <c r="E19">
        <v>7211548.9929999998</v>
      </c>
      <c r="F19">
        <v>185380.99900000001</v>
      </c>
      <c r="G19" s="42">
        <f t="shared" si="0"/>
        <v>65</v>
      </c>
      <c r="H19" s="41">
        <f t="shared" si="1"/>
        <v>15</v>
      </c>
      <c r="I19">
        <f t="array" ref="I19:J19">[1]!transform_geodetic_to_grid(G19,H19,B19)</f>
        <v>7211548.9932358833</v>
      </c>
      <c r="J19">
        <v>185380.99900794815</v>
      </c>
    </row>
    <row r="20" spans="1:10" x14ac:dyDescent="0.25">
      <c r="A20" t="s">
        <v>158</v>
      </c>
      <c r="B20">
        <v>3009</v>
      </c>
      <c r="C20" t="s">
        <v>98</v>
      </c>
      <c r="D20" t="s">
        <v>101</v>
      </c>
      <c r="E20">
        <v>6097487.6370000001</v>
      </c>
      <c r="F20">
        <v>102004.871</v>
      </c>
      <c r="G20" s="42">
        <f t="shared" si="0"/>
        <v>55</v>
      </c>
      <c r="H20" s="41">
        <f t="shared" si="1"/>
        <v>14.25</v>
      </c>
      <c r="I20">
        <f t="array" ref="I20:J20">[1]!transform_geodetic_to_grid(G20,H20,B20)</f>
        <v>6097487.6372031458</v>
      </c>
      <c r="J20">
        <v>102004.8708525097</v>
      </c>
    </row>
    <row r="21" spans="1:10" x14ac:dyDescent="0.25">
      <c r="A21" t="s">
        <v>158</v>
      </c>
      <c r="B21">
        <v>3009</v>
      </c>
      <c r="C21" t="s">
        <v>94</v>
      </c>
      <c r="D21" t="s">
        <v>101</v>
      </c>
      <c r="E21">
        <v>6320164.0769999996</v>
      </c>
      <c r="F21">
        <v>104421.39</v>
      </c>
      <c r="G21" s="42">
        <f t="shared" si="0"/>
        <v>57</v>
      </c>
      <c r="H21" s="41">
        <f t="shared" si="1"/>
        <v>14.25</v>
      </c>
      <c r="I21">
        <f t="array" ref="I21:J21">[1]!transform_geodetic_to_grid(G21,H21,B21)</f>
        <v>6320164.0767487548</v>
      </c>
      <c r="J21">
        <v>104421.38973252589</v>
      </c>
    </row>
    <row r="22" spans="1:10" x14ac:dyDescent="0.25">
      <c r="A22" t="s">
        <v>158</v>
      </c>
      <c r="B22">
        <v>3009</v>
      </c>
      <c r="C22" t="s">
        <v>96</v>
      </c>
      <c r="D22" t="s">
        <v>101</v>
      </c>
      <c r="E22">
        <v>6542910.9210000001</v>
      </c>
      <c r="F22">
        <v>106894.103</v>
      </c>
      <c r="G22" s="42">
        <f t="shared" si="0"/>
        <v>59</v>
      </c>
      <c r="H22" s="41">
        <f t="shared" si="1"/>
        <v>14.25</v>
      </c>
      <c r="I22">
        <f t="array" ref="I22:J22">[1]!transform_geodetic_to_grid(G22,H22,B22)</f>
        <v>6542910.9207595512</v>
      </c>
      <c r="J22">
        <v>106894.10275529543</v>
      </c>
    </row>
    <row r="23" spans="1:10" x14ac:dyDescent="0.25">
      <c r="A23" t="s">
        <v>158</v>
      </c>
      <c r="B23">
        <v>3009</v>
      </c>
      <c r="C23" t="s">
        <v>99</v>
      </c>
      <c r="D23" t="s">
        <v>101</v>
      </c>
      <c r="E23">
        <v>6765725.8470000001</v>
      </c>
      <c r="F23">
        <v>109420.005</v>
      </c>
      <c r="G23" s="42">
        <f t="shared" si="0"/>
        <v>61</v>
      </c>
      <c r="H23" s="41">
        <f t="shared" si="1"/>
        <v>14.25</v>
      </c>
      <c r="I23">
        <f t="array" ref="I23:J23">[1]!transform_geodetic_to_grid(G23,H23,B23)</f>
        <v>6765725.8471382614</v>
      </c>
      <c r="J23">
        <v>109420.00506823225</v>
      </c>
    </row>
    <row r="24" spans="1:10" x14ac:dyDescent="0.25">
      <c r="A24" t="s">
        <v>158</v>
      </c>
      <c r="B24">
        <v>3009</v>
      </c>
      <c r="C24" t="s">
        <v>94</v>
      </c>
      <c r="D24" t="s">
        <v>106</v>
      </c>
      <c r="E24">
        <v>6320164.0769999996</v>
      </c>
      <c r="F24">
        <v>195578.61</v>
      </c>
      <c r="G24" s="42">
        <f t="shared" si="0"/>
        <v>57</v>
      </c>
      <c r="H24" s="41">
        <f t="shared" si="1"/>
        <v>15.75</v>
      </c>
      <c r="I24">
        <f t="array" ref="I24:J24">[1]!transform_geodetic_to_grid(G24,H24,B24)</f>
        <v>6320164.0767487548</v>
      </c>
      <c r="J24">
        <v>195578.61026747391</v>
      </c>
    </row>
    <row r="25" spans="1:10" x14ac:dyDescent="0.25">
      <c r="A25" t="s">
        <v>158</v>
      </c>
      <c r="B25">
        <v>3009</v>
      </c>
      <c r="C25" t="s">
        <v>96</v>
      </c>
      <c r="D25" t="s">
        <v>106</v>
      </c>
      <c r="E25">
        <v>6542910.9210000001</v>
      </c>
      <c r="F25">
        <v>193105.897</v>
      </c>
      <c r="G25" s="42">
        <f t="shared" si="0"/>
        <v>59</v>
      </c>
      <c r="H25" s="41">
        <f t="shared" si="1"/>
        <v>15.75</v>
      </c>
      <c r="I25">
        <f t="array" ref="I25:J25">[1]!transform_geodetic_to_grid(G25,H25,B25)</f>
        <v>6542910.9207595512</v>
      </c>
      <c r="J25">
        <v>193105.89724470468</v>
      </c>
    </row>
    <row r="26" spans="1:10" x14ac:dyDescent="0.25">
      <c r="A26" t="s">
        <v>158</v>
      </c>
      <c r="B26">
        <v>3009</v>
      </c>
      <c r="C26" t="s">
        <v>99</v>
      </c>
      <c r="D26" t="s">
        <v>106</v>
      </c>
      <c r="E26">
        <v>6765725.8470000001</v>
      </c>
      <c r="F26">
        <v>190579.995</v>
      </c>
      <c r="G26" s="42">
        <f t="shared" si="0"/>
        <v>61</v>
      </c>
      <c r="H26" s="41">
        <f t="shared" si="1"/>
        <v>15.75</v>
      </c>
      <c r="I26">
        <f t="array" ref="I26:J26">[1]!transform_geodetic_to_grid(G26,H26,B26)</f>
        <v>6765725.8471382614</v>
      </c>
      <c r="J26">
        <v>190579.99493176819</v>
      </c>
    </row>
    <row r="27" spans="1:10" x14ac:dyDescent="0.25">
      <c r="A27" t="s">
        <v>159</v>
      </c>
      <c r="B27">
        <v>3013</v>
      </c>
      <c r="C27" t="s">
        <v>100</v>
      </c>
      <c r="D27" t="s">
        <v>105</v>
      </c>
      <c r="E27">
        <v>6988606.1979999999</v>
      </c>
      <c r="F27">
        <v>111996.02</v>
      </c>
      <c r="G27" s="42">
        <f t="shared" si="0"/>
        <v>63</v>
      </c>
      <c r="H27" s="41">
        <f t="shared" si="1"/>
        <v>15</v>
      </c>
      <c r="I27">
        <f t="array" ref="I27:J27">[1]!transform_geodetic_to_grid(G27,H27,B27)</f>
        <v>6988606.198190474</v>
      </c>
      <c r="J27">
        <v>111996.01963891141</v>
      </c>
    </row>
    <row r="28" spans="1:10" x14ac:dyDescent="0.25">
      <c r="A28" t="s">
        <v>159</v>
      </c>
      <c r="B28">
        <v>3013</v>
      </c>
      <c r="C28" t="s">
        <v>103</v>
      </c>
      <c r="D28" t="s">
        <v>105</v>
      </c>
      <c r="E28">
        <v>7211548.9929999998</v>
      </c>
      <c r="F28">
        <v>114619.001</v>
      </c>
      <c r="G28" s="42">
        <f t="shared" si="0"/>
        <v>65</v>
      </c>
      <c r="H28" s="41">
        <f t="shared" si="1"/>
        <v>15</v>
      </c>
      <c r="I28">
        <f t="array" ref="I28:J28">[1]!transform_geodetic_to_grid(G28,H28,B28)</f>
        <v>7211548.9932358833</v>
      </c>
      <c r="J28">
        <v>114619.00099205202</v>
      </c>
    </row>
    <row r="29" spans="1:10" x14ac:dyDescent="0.25">
      <c r="A29" t="s">
        <v>159</v>
      </c>
      <c r="B29">
        <v>3013</v>
      </c>
      <c r="C29" t="s">
        <v>107</v>
      </c>
      <c r="D29" t="s">
        <v>105</v>
      </c>
      <c r="E29">
        <v>7434550.943</v>
      </c>
      <c r="F29">
        <v>117285.739</v>
      </c>
      <c r="G29" s="42">
        <f t="shared" si="0"/>
        <v>67</v>
      </c>
      <c r="H29" s="41">
        <f t="shared" si="1"/>
        <v>15</v>
      </c>
      <c r="I29">
        <f t="array" ref="I29:J29">[1]!transform_geodetic_to_grid(G29,H29,B29)</f>
        <v>7434550.9428757662</v>
      </c>
      <c r="J29">
        <v>117285.73911170421</v>
      </c>
    </row>
    <row r="30" spans="1:10" x14ac:dyDescent="0.25">
      <c r="A30" t="s">
        <v>159</v>
      </c>
      <c r="B30">
        <v>3013</v>
      </c>
      <c r="C30" t="s">
        <v>100</v>
      </c>
      <c r="D30" t="s">
        <v>108</v>
      </c>
      <c r="E30">
        <v>6988606.1979999999</v>
      </c>
      <c r="F30">
        <v>188003.98</v>
      </c>
      <c r="G30" s="42">
        <f t="shared" si="0"/>
        <v>63</v>
      </c>
      <c r="H30" s="41">
        <f t="shared" si="1"/>
        <v>16.5</v>
      </c>
      <c r="I30">
        <f t="array" ref="I30:J30">[1]!transform_geodetic_to_grid(G30,H30,B30)</f>
        <v>6988606.198190474</v>
      </c>
      <c r="J30">
        <v>188003.98036108905</v>
      </c>
    </row>
    <row r="31" spans="1:10" x14ac:dyDescent="0.25">
      <c r="A31" t="s">
        <v>159</v>
      </c>
      <c r="B31">
        <v>3013</v>
      </c>
      <c r="C31" t="s">
        <v>103</v>
      </c>
      <c r="D31" t="s">
        <v>108</v>
      </c>
      <c r="E31">
        <v>7211548.9929999998</v>
      </c>
      <c r="F31">
        <v>185380.99900000001</v>
      </c>
      <c r="G31" s="42">
        <f t="shared" si="0"/>
        <v>65</v>
      </c>
      <c r="H31" s="41">
        <f t="shared" si="1"/>
        <v>16.5</v>
      </c>
      <c r="I31">
        <f t="array" ref="I31:J31">[1]!transform_geodetic_to_grid(G31,H31,B31)</f>
        <v>7211548.9932358833</v>
      </c>
      <c r="J31">
        <v>185380.99900794815</v>
      </c>
    </row>
    <row r="32" spans="1:10" x14ac:dyDescent="0.25">
      <c r="A32" t="s">
        <v>159</v>
      </c>
      <c r="B32">
        <v>3013</v>
      </c>
      <c r="C32" t="s">
        <v>107</v>
      </c>
      <c r="D32" t="s">
        <v>108</v>
      </c>
      <c r="E32">
        <v>7434550.943</v>
      </c>
      <c r="F32">
        <v>182714.261</v>
      </c>
      <c r="G32" s="42">
        <f t="shared" si="0"/>
        <v>67</v>
      </c>
      <c r="H32" s="41">
        <f t="shared" si="1"/>
        <v>16.5</v>
      </c>
      <c r="I32">
        <f t="array" ref="I32:J32">[1]!transform_geodetic_to_grid(G32,H32,B32)</f>
        <v>7434550.9428757662</v>
      </c>
      <c r="J32">
        <v>182714.26088829592</v>
      </c>
    </row>
    <row r="33" spans="1:10" x14ac:dyDescent="0.25">
      <c r="A33" t="s">
        <v>160</v>
      </c>
      <c r="B33">
        <v>3010</v>
      </c>
      <c r="C33" t="s">
        <v>94</v>
      </c>
      <c r="D33" t="s">
        <v>106</v>
      </c>
      <c r="E33">
        <v>6320164.0769999996</v>
      </c>
      <c r="F33">
        <v>104421.39</v>
      </c>
      <c r="G33" s="42">
        <f t="shared" si="0"/>
        <v>57</v>
      </c>
      <c r="H33" s="41">
        <f t="shared" si="1"/>
        <v>15.75</v>
      </c>
      <c r="I33">
        <f t="array" ref="I33:J33">[1]!transform_geodetic_to_grid(G33,H33,B33)</f>
        <v>6320164.0767487548</v>
      </c>
      <c r="J33">
        <v>104421.38973252589</v>
      </c>
    </row>
    <row r="34" spans="1:10" x14ac:dyDescent="0.25">
      <c r="A34" t="s">
        <v>160</v>
      </c>
      <c r="B34">
        <v>3010</v>
      </c>
      <c r="C34" t="s">
        <v>96</v>
      </c>
      <c r="D34" t="s">
        <v>106</v>
      </c>
      <c r="E34">
        <v>6542910.9210000001</v>
      </c>
      <c r="F34">
        <v>106894.103</v>
      </c>
      <c r="G34" s="42">
        <f t="shared" si="0"/>
        <v>59</v>
      </c>
      <c r="H34" s="41">
        <f t="shared" si="1"/>
        <v>15.75</v>
      </c>
      <c r="I34">
        <f t="array" ref="I34:J34">[1]!transform_geodetic_to_grid(G34,H34,B34)</f>
        <v>6542910.9207595512</v>
      </c>
      <c r="J34">
        <v>106894.10275529543</v>
      </c>
    </row>
    <row r="35" spans="1:10" x14ac:dyDescent="0.25">
      <c r="A35" t="s">
        <v>160</v>
      </c>
      <c r="B35">
        <v>3010</v>
      </c>
      <c r="C35" t="s">
        <v>99</v>
      </c>
      <c r="D35" t="s">
        <v>106</v>
      </c>
      <c r="E35">
        <v>6765725.8470000001</v>
      </c>
      <c r="F35">
        <v>109420.005</v>
      </c>
      <c r="G35" s="42">
        <f t="shared" si="0"/>
        <v>61</v>
      </c>
      <c r="H35" s="41">
        <f t="shared" si="1"/>
        <v>15.75</v>
      </c>
      <c r="I35">
        <f t="array" ref="I35:J35">[1]!transform_geodetic_to_grid(G35,H35,B35)</f>
        <v>6765725.8471382614</v>
      </c>
      <c r="J35">
        <v>109420.00506823188</v>
      </c>
    </row>
    <row r="36" spans="1:10" x14ac:dyDescent="0.25">
      <c r="A36" t="s">
        <v>160</v>
      </c>
      <c r="B36">
        <v>3010</v>
      </c>
      <c r="C36" t="s">
        <v>100</v>
      </c>
      <c r="D36" t="s">
        <v>106</v>
      </c>
      <c r="E36">
        <v>6988606.1979999999</v>
      </c>
      <c r="F36">
        <v>111996.02</v>
      </c>
      <c r="G36" s="42">
        <f t="shared" si="0"/>
        <v>63</v>
      </c>
      <c r="H36" s="41">
        <f t="shared" si="1"/>
        <v>15.75</v>
      </c>
      <c r="I36">
        <f t="array" ref="I36:J36">[1]!transform_geodetic_to_grid(G36,H36,B36)</f>
        <v>6988606.198190474</v>
      </c>
      <c r="J36">
        <v>111996.01963891141</v>
      </c>
    </row>
    <row r="37" spans="1:10" x14ac:dyDescent="0.25">
      <c r="A37" t="s">
        <v>160</v>
      </c>
      <c r="B37">
        <v>3010</v>
      </c>
      <c r="C37" t="s">
        <v>94</v>
      </c>
      <c r="D37" t="s">
        <v>109</v>
      </c>
      <c r="E37">
        <v>6320164.0769999996</v>
      </c>
      <c r="F37">
        <v>195578.61</v>
      </c>
      <c r="G37" s="42">
        <f t="shared" si="0"/>
        <v>57</v>
      </c>
      <c r="H37" s="41">
        <f t="shared" si="1"/>
        <v>17.25</v>
      </c>
      <c r="I37">
        <f t="array" ref="I37:J37">[1]!transform_geodetic_to_grid(G37,H37,B37)</f>
        <v>6320164.0767487548</v>
      </c>
      <c r="J37">
        <v>195578.61026747391</v>
      </c>
    </row>
    <row r="38" spans="1:10" x14ac:dyDescent="0.25">
      <c r="A38" t="s">
        <v>160</v>
      </c>
      <c r="B38">
        <v>3010</v>
      </c>
      <c r="C38" t="s">
        <v>96</v>
      </c>
      <c r="D38" t="s">
        <v>109</v>
      </c>
      <c r="E38">
        <v>6542910.9210000001</v>
      </c>
      <c r="F38">
        <v>193105.897</v>
      </c>
      <c r="G38" s="42">
        <f t="shared" si="0"/>
        <v>59</v>
      </c>
      <c r="H38" s="41">
        <f t="shared" si="1"/>
        <v>17.25</v>
      </c>
      <c r="I38">
        <f t="array" ref="I38:J38">[1]!transform_geodetic_to_grid(G38,H38,B38)</f>
        <v>6542910.9207595512</v>
      </c>
      <c r="J38">
        <v>193105.89724470468</v>
      </c>
    </row>
    <row r="39" spans="1:10" x14ac:dyDescent="0.25">
      <c r="A39" t="s">
        <v>160</v>
      </c>
      <c r="B39">
        <v>3010</v>
      </c>
      <c r="C39" t="s">
        <v>99</v>
      </c>
      <c r="D39" t="s">
        <v>109</v>
      </c>
      <c r="E39">
        <v>6765725.8470000001</v>
      </c>
      <c r="F39">
        <v>190579.995</v>
      </c>
      <c r="G39" s="42">
        <f t="shared" si="0"/>
        <v>61</v>
      </c>
      <c r="H39" s="41">
        <f t="shared" si="1"/>
        <v>17.25</v>
      </c>
      <c r="I39">
        <f t="array" ref="I39:J39">[1]!transform_geodetic_to_grid(G39,H39,B39)</f>
        <v>6765725.8471382614</v>
      </c>
      <c r="J39">
        <v>190579.99493176749</v>
      </c>
    </row>
    <row r="40" spans="1:10" x14ac:dyDescent="0.25">
      <c r="A40" t="s">
        <v>160</v>
      </c>
      <c r="B40">
        <v>3010</v>
      </c>
      <c r="C40" t="s">
        <v>100</v>
      </c>
      <c r="D40" t="s">
        <v>109</v>
      </c>
      <c r="E40">
        <v>6988606.1979999999</v>
      </c>
      <c r="F40">
        <v>188003.98</v>
      </c>
      <c r="G40" s="42">
        <f t="shared" si="0"/>
        <v>63</v>
      </c>
      <c r="H40" s="41">
        <f t="shared" si="1"/>
        <v>17.25</v>
      </c>
      <c r="I40">
        <f t="array" ref="I40:J40">[1]!transform_geodetic_to_grid(G40,H40,B40)</f>
        <v>6988606.198190474</v>
      </c>
      <c r="J40">
        <v>188003.98036108905</v>
      </c>
    </row>
    <row r="41" spans="1:10" x14ac:dyDescent="0.25">
      <c r="A41" t="s">
        <v>161</v>
      </c>
      <c r="B41">
        <v>3014</v>
      </c>
      <c r="C41" t="s">
        <v>100</v>
      </c>
      <c r="D41" t="s">
        <v>108</v>
      </c>
      <c r="E41">
        <v>6988606.1979999999</v>
      </c>
      <c r="F41">
        <v>111996.02</v>
      </c>
      <c r="G41" s="42">
        <f t="shared" si="0"/>
        <v>63</v>
      </c>
      <c r="H41" s="41">
        <f t="shared" si="1"/>
        <v>16.5</v>
      </c>
      <c r="I41">
        <f t="array" ref="I41:J41">[1]!transform_geodetic_to_grid(G41,H41,B41)</f>
        <v>6988606.198190474</v>
      </c>
      <c r="J41">
        <v>111996.01963891141</v>
      </c>
    </row>
    <row r="42" spans="1:10" x14ac:dyDescent="0.25">
      <c r="A42" t="s">
        <v>161</v>
      </c>
      <c r="B42">
        <v>3014</v>
      </c>
      <c r="C42" t="s">
        <v>103</v>
      </c>
      <c r="D42" t="s">
        <v>108</v>
      </c>
      <c r="E42">
        <v>7211548.9929999998</v>
      </c>
      <c r="F42">
        <v>114619.001</v>
      </c>
      <c r="G42" s="42">
        <f t="shared" si="0"/>
        <v>65</v>
      </c>
      <c r="H42" s="41">
        <f t="shared" si="1"/>
        <v>16.5</v>
      </c>
      <c r="I42">
        <f t="array" ref="I42:J42">[1]!transform_geodetic_to_grid(G42,H42,B42)</f>
        <v>7211548.9932358833</v>
      </c>
      <c r="J42">
        <v>114619.00099205202</v>
      </c>
    </row>
    <row r="43" spans="1:10" x14ac:dyDescent="0.25">
      <c r="A43" t="s">
        <v>161</v>
      </c>
      <c r="B43">
        <v>3014</v>
      </c>
      <c r="C43" t="s">
        <v>107</v>
      </c>
      <c r="D43" t="s">
        <v>108</v>
      </c>
      <c r="E43">
        <v>7434550.943</v>
      </c>
      <c r="F43">
        <v>117285.739</v>
      </c>
      <c r="G43" s="42">
        <f t="shared" si="0"/>
        <v>67</v>
      </c>
      <c r="H43" s="41">
        <f t="shared" si="1"/>
        <v>16.5</v>
      </c>
      <c r="I43">
        <f t="array" ref="I43:J43">[1]!transform_geodetic_to_grid(G43,H43,B43)</f>
        <v>7434550.9428757662</v>
      </c>
      <c r="J43">
        <v>117285.73911170421</v>
      </c>
    </row>
    <row r="44" spans="1:10" x14ac:dyDescent="0.25">
      <c r="A44" t="s">
        <v>161</v>
      </c>
      <c r="B44">
        <v>3014</v>
      </c>
      <c r="C44" t="s">
        <v>100</v>
      </c>
      <c r="D44" t="s">
        <v>110</v>
      </c>
      <c r="E44">
        <v>6988606.1979999999</v>
      </c>
      <c r="F44">
        <v>188003.98</v>
      </c>
      <c r="G44" s="42">
        <f t="shared" si="0"/>
        <v>63</v>
      </c>
      <c r="H44" s="41">
        <f t="shared" si="1"/>
        <v>18</v>
      </c>
      <c r="I44">
        <f t="array" ref="I44:J44">[1]!transform_geodetic_to_grid(G44,H44,B44)</f>
        <v>6988606.198190474</v>
      </c>
      <c r="J44">
        <v>188003.98036108905</v>
      </c>
    </row>
    <row r="45" spans="1:10" x14ac:dyDescent="0.25">
      <c r="A45" t="s">
        <v>161</v>
      </c>
      <c r="B45">
        <v>3014</v>
      </c>
      <c r="C45" t="s">
        <v>103</v>
      </c>
      <c r="D45" t="s">
        <v>110</v>
      </c>
      <c r="E45">
        <v>7211548.9929999998</v>
      </c>
      <c r="F45">
        <v>185380.99900000001</v>
      </c>
      <c r="G45" s="42">
        <f t="shared" si="0"/>
        <v>65</v>
      </c>
      <c r="H45" s="41">
        <f t="shared" si="1"/>
        <v>18</v>
      </c>
      <c r="I45">
        <f t="array" ref="I45:J45">[1]!transform_geodetic_to_grid(G45,H45,B45)</f>
        <v>7211548.9932358833</v>
      </c>
      <c r="J45">
        <v>185380.99900794815</v>
      </c>
    </row>
    <row r="46" spans="1:10" x14ac:dyDescent="0.25">
      <c r="A46" t="s">
        <v>161</v>
      </c>
      <c r="B46">
        <v>3014</v>
      </c>
      <c r="C46" t="s">
        <v>107</v>
      </c>
      <c r="D46" t="s">
        <v>110</v>
      </c>
      <c r="E46">
        <v>7434550.943</v>
      </c>
      <c r="F46">
        <v>182714.261</v>
      </c>
      <c r="G46" s="42">
        <f t="shared" si="0"/>
        <v>67</v>
      </c>
      <c r="H46" s="41">
        <f t="shared" si="1"/>
        <v>18</v>
      </c>
      <c r="I46">
        <f t="array" ref="I46:J46">[1]!transform_geodetic_to_grid(G46,H46,B46)</f>
        <v>7434550.9428757662</v>
      </c>
      <c r="J46">
        <v>182714.26088829592</v>
      </c>
    </row>
    <row r="47" spans="1:10" x14ac:dyDescent="0.25">
      <c r="A47" t="s">
        <v>142</v>
      </c>
      <c r="B47">
        <v>3011</v>
      </c>
      <c r="C47" t="s">
        <v>96</v>
      </c>
      <c r="D47" t="s">
        <v>109</v>
      </c>
      <c r="E47">
        <v>6542910.9210000001</v>
      </c>
      <c r="F47">
        <v>106894.103</v>
      </c>
      <c r="G47" s="42">
        <f t="shared" si="0"/>
        <v>59</v>
      </c>
      <c r="H47" s="41">
        <f t="shared" si="1"/>
        <v>17.25</v>
      </c>
      <c r="I47">
        <f t="array" ref="I47:J47">[1]!transform_geodetic_to_grid(G47,H47,B47)</f>
        <v>6542910.9207595512</v>
      </c>
      <c r="J47">
        <v>106894.10275529543</v>
      </c>
    </row>
    <row r="48" spans="1:10" x14ac:dyDescent="0.25">
      <c r="A48" t="s">
        <v>142</v>
      </c>
      <c r="B48">
        <v>3011</v>
      </c>
      <c r="C48" t="s">
        <v>99</v>
      </c>
      <c r="D48" t="s">
        <v>109</v>
      </c>
      <c r="E48">
        <v>6765725.8470000001</v>
      </c>
      <c r="F48">
        <v>109420.005</v>
      </c>
      <c r="G48" s="42">
        <f t="shared" si="0"/>
        <v>61</v>
      </c>
      <c r="H48" s="41">
        <f t="shared" si="1"/>
        <v>17.25</v>
      </c>
      <c r="I48">
        <f t="array" ref="I48:J48">[1]!transform_geodetic_to_grid(G48,H48,B48)</f>
        <v>6765725.8471382614</v>
      </c>
      <c r="J48">
        <v>109420.00506823188</v>
      </c>
    </row>
    <row r="49" spans="1:10" x14ac:dyDescent="0.25">
      <c r="A49" t="s">
        <v>142</v>
      </c>
      <c r="B49">
        <v>3011</v>
      </c>
      <c r="C49" t="s">
        <v>96</v>
      </c>
      <c r="D49" t="s">
        <v>111</v>
      </c>
      <c r="E49">
        <v>6542910.9210000001</v>
      </c>
      <c r="F49">
        <v>193105.897</v>
      </c>
      <c r="G49" s="42">
        <f t="shared" si="0"/>
        <v>59</v>
      </c>
      <c r="H49" s="41">
        <f t="shared" si="1"/>
        <v>18.75</v>
      </c>
      <c r="I49">
        <f t="array" ref="I49:J49">[1]!transform_geodetic_to_grid(G49,H49,B49)</f>
        <v>6542910.9207595512</v>
      </c>
      <c r="J49">
        <v>193105.89724470468</v>
      </c>
    </row>
    <row r="50" spans="1:10" x14ac:dyDescent="0.25">
      <c r="A50" t="s">
        <v>142</v>
      </c>
      <c r="B50">
        <v>3011</v>
      </c>
      <c r="C50" t="s">
        <v>99</v>
      </c>
      <c r="D50" t="s">
        <v>111</v>
      </c>
      <c r="E50">
        <v>6765725.8470000001</v>
      </c>
      <c r="F50">
        <v>190579.995</v>
      </c>
      <c r="G50" s="42">
        <f t="shared" si="0"/>
        <v>61</v>
      </c>
      <c r="H50" s="41">
        <f t="shared" si="1"/>
        <v>18.75</v>
      </c>
      <c r="I50">
        <f t="array" ref="I50:J50">[1]!transform_geodetic_to_grid(G50,H50,B50)</f>
        <v>6765725.8471382614</v>
      </c>
      <c r="J50">
        <v>190579.99493176819</v>
      </c>
    </row>
    <row r="51" spans="1:10" x14ac:dyDescent="0.25">
      <c r="A51" t="s">
        <v>162</v>
      </c>
      <c r="B51">
        <v>3015</v>
      </c>
      <c r="C51" t="s">
        <v>94</v>
      </c>
      <c r="D51" t="s">
        <v>110</v>
      </c>
      <c r="E51">
        <v>6320164.0769999996</v>
      </c>
      <c r="F51">
        <v>104421.39</v>
      </c>
      <c r="G51" s="42">
        <f t="shared" si="0"/>
        <v>57</v>
      </c>
      <c r="H51" s="41">
        <f t="shared" si="1"/>
        <v>18</v>
      </c>
      <c r="I51">
        <f t="array" ref="I51:J51">[1]!transform_geodetic_to_grid(G51,H51,B51)</f>
        <v>6320164.0767487548</v>
      </c>
      <c r="J51">
        <v>104421.38973252589</v>
      </c>
    </row>
    <row r="52" spans="1:10" x14ac:dyDescent="0.25">
      <c r="A52" t="s">
        <v>162</v>
      </c>
      <c r="B52">
        <v>3015</v>
      </c>
      <c r="C52" t="s">
        <v>96</v>
      </c>
      <c r="D52" t="s">
        <v>110</v>
      </c>
      <c r="E52">
        <v>6542910.9210000001</v>
      </c>
      <c r="F52">
        <v>106894.103</v>
      </c>
      <c r="G52" s="42">
        <f t="shared" si="0"/>
        <v>59</v>
      </c>
      <c r="H52" s="41">
        <f t="shared" si="1"/>
        <v>18</v>
      </c>
      <c r="I52">
        <f t="array" ref="I52:J52">[1]!transform_geodetic_to_grid(G52,H52,B52)</f>
        <v>6542910.9207595512</v>
      </c>
      <c r="J52">
        <v>106894.10275529543</v>
      </c>
    </row>
    <row r="53" spans="1:10" x14ac:dyDescent="0.25">
      <c r="A53" t="s">
        <v>162</v>
      </c>
      <c r="B53">
        <v>3015</v>
      </c>
      <c r="C53" t="s">
        <v>100</v>
      </c>
      <c r="D53" t="s">
        <v>110</v>
      </c>
      <c r="E53">
        <v>6988606.1979999999</v>
      </c>
      <c r="F53">
        <v>111996.02</v>
      </c>
      <c r="G53" s="42">
        <f t="shared" si="0"/>
        <v>63</v>
      </c>
      <c r="H53" s="41">
        <f t="shared" si="1"/>
        <v>18</v>
      </c>
      <c r="I53">
        <f t="array" ref="I53:J53">[1]!transform_geodetic_to_grid(G53,H53,B53)</f>
        <v>6988606.198190474</v>
      </c>
      <c r="J53">
        <v>111996.01963891141</v>
      </c>
    </row>
    <row r="54" spans="1:10" x14ac:dyDescent="0.25">
      <c r="A54" t="s">
        <v>162</v>
      </c>
      <c r="B54">
        <v>3015</v>
      </c>
      <c r="C54" t="s">
        <v>103</v>
      </c>
      <c r="D54" t="s">
        <v>110</v>
      </c>
      <c r="E54">
        <v>7211548.9929999998</v>
      </c>
      <c r="F54">
        <v>114619.001</v>
      </c>
      <c r="G54" s="42">
        <f t="shared" si="0"/>
        <v>65</v>
      </c>
      <c r="H54" s="41">
        <f t="shared" si="1"/>
        <v>18</v>
      </c>
      <c r="I54">
        <f t="array" ref="I54:J54">[1]!transform_geodetic_to_grid(G54,H54,B54)</f>
        <v>7211548.9932358833</v>
      </c>
      <c r="J54">
        <v>114619.00099205202</v>
      </c>
    </row>
    <row r="55" spans="1:10" x14ac:dyDescent="0.25">
      <c r="A55" t="s">
        <v>162</v>
      </c>
      <c r="B55">
        <v>3015</v>
      </c>
      <c r="C55" t="s">
        <v>107</v>
      </c>
      <c r="D55" t="s">
        <v>110</v>
      </c>
      <c r="E55">
        <v>7434550.943</v>
      </c>
      <c r="F55">
        <v>117285.739</v>
      </c>
      <c r="G55" s="42">
        <f t="shared" si="0"/>
        <v>67</v>
      </c>
      <c r="H55" s="41">
        <f t="shared" si="1"/>
        <v>18</v>
      </c>
      <c r="I55">
        <f t="array" ref="I55:J55">[1]!transform_geodetic_to_grid(G55,H55,B55)</f>
        <v>7434550.9428757662</v>
      </c>
      <c r="J55">
        <v>117285.73911170421</v>
      </c>
    </row>
    <row r="56" spans="1:10" x14ac:dyDescent="0.25">
      <c r="A56" t="s">
        <v>162</v>
      </c>
      <c r="B56">
        <v>3015</v>
      </c>
      <c r="C56" t="s">
        <v>94</v>
      </c>
      <c r="D56" t="s">
        <v>112</v>
      </c>
      <c r="E56">
        <v>6320164.0769999996</v>
      </c>
      <c r="F56">
        <v>195578.61</v>
      </c>
      <c r="G56" s="42">
        <f t="shared" si="0"/>
        <v>57</v>
      </c>
      <c r="H56" s="41">
        <f t="shared" si="1"/>
        <v>19.5</v>
      </c>
      <c r="I56">
        <f t="array" ref="I56:J56">[1]!transform_geodetic_to_grid(G56,H56,B56)</f>
        <v>6320164.0767487548</v>
      </c>
      <c r="J56">
        <v>195578.61026747391</v>
      </c>
    </row>
    <row r="57" spans="1:10" x14ac:dyDescent="0.25">
      <c r="A57" t="s">
        <v>162</v>
      </c>
      <c r="B57">
        <v>3015</v>
      </c>
      <c r="C57" t="s">
        <v>96</v>
      </c>
      <c r="D57" t="s">
        <v>112</v>
      </c>
      <c r="E57">
        <v>6542910.9210000001</v>
      </c>
      <c r="F57">
        <v>193105.897</v>
      </c>
      <c r="G57" s="42">
        <f t="shared" si="0"/>
        <v>59</v>
      </c>
      <c r="H57" s="41">
        <f t="shared" si="1"/>
        <v>19.5</v>
      </c>
      <c r="I57">
        <f t="array" ref="I57:J57">[1]!transform_geodetic_to_grid(G57,H57,B57)</f>
        <v>6542910.9207595512</v>
      </c>
      <c r="J57">
        <v>193105.89724470468</v>
      </c>
    </row>
    <row r="58" spans="1:10" x14ac:dyDescent="0.25">
      <c r="A58" t="s">
        <v>162</v>
      </c>
      <c r="B58">
        <v>3015</v>
      </c>
      <c r="C58" t="s">
        <v>100</v>
      </c>
      <c r="D58" t="s">
        <v>112</v>
      </c>
      <c r="E58">
        <v>6988606.1979999999</v>
      </c>
      <c r="F58">
        <v>188003.98</v>
      </c>
      <c r="G58" s="42">
        <f t="shared" si="0"/>
        <v>63</v>
      </c>
      <c r="H58" s="41">
        <f t="shared" si="1"/>
        <v>19.5</v>
      </c>
      <c r="I58">
        <f t="array" ref="I58:J58">[1]!transform_geodetic_to_grid(G58,H58,B58)</f>
        <v>6988606.198190474</v>
      </c>
      <c r="J58">
        <v>188003.98036108905</v>
      </c>
    </row>
    <row r="59" spans="1:10" x14ac:dyDescent="0.25">
      <c r="A59" t="s">
        <v>162</v>
      </c>
      <c r="B59">
        <v>3015</v>
      </c>
      <c r="C59" t="s">
        <v>103</v>
      </c>
      <c r="D59" t="s">
        <v>112</v>
      </c>
      <c r="E59">
        <v>7211548.9929999998</v>
      </c>
      <c r="F59">
        <v>185380.99900000001</v>
      </c>
      <c r="G59" s="42">
        <f t="shared" si="0"/>
        <v>65</v>
      </c>
      <c r="H59" s="41">
        <f t="shared" si="1"/>
        <v>19.5</v>
      </c>
      <c r="I59">
        <f t="array" ref="I59:J59">[1]!transform_geodetic_to_grid(G59,H59,B59)</f>
        <v>7211548.9932358833</v>
      </c>
      <c r="J59">
        <v>185380.99900794815</v>
      </c>
    </row>
    <row r="60" spans="1:10" x14ac:dyDescent="0.25">
      <c r="A60" t="s">
        <v>162</v>
      </c>
      <c r="B60">
        <v>3015</v>
      </c>
      <c r="C60" t="s">
        <v>107</v>
      </c>
      <c r="D60" t="s">
        <v>112</v>
      </c>
      <c r="E60">
        <v>7434550.943</v>
      </c>
      <c r="F60">
        <v>182714.261</v>
      </c>
      <c r="G60" s="42">
        <f t="shared" si="0"/>
        <v>67</v>
      </c>
      <c r="H60" s="41">
        <f t="shared" si="1"/>
        <v>19.5</v>
      </c>
      <c r="I60">
        <f t="array" ref="I60:J60">[1]!transform_geodetic_to_grid(G60,H60,B60)</f>
        <v>7434550.9428757662</v>
      </c>
      <c r="J60">
        <v>182714.26088829592</v>
      </c>
    </row>
    <row r="61" spans="1:10" x14ac:dyDescent="0.25">
      <c r="A61" t="s">
        <v>163</v>
      </c>
      <c r="B61">
        <v>3016</v>
      </c>
      <c r="C61" t="s">
        <v>100</v>
      </c>
      <c r="D61" t="s">
        <v>112</v>
      </c>
      <c r="E61">
        <v>6988606.1979999999</v>
      </c>
      <c r="F61">
        <v>111996.02</v>
      </c>
      <c r="G61" s="42">
        <f t="shared" si="0"/>
        <v>63</v>
      </c>
      <c r="H61" s="41">
        <f t="shared" si="1"/>
        <v>19.5</v>
      </c>
      <c r="I61">
        <f t="array" ref="I61:J61">[1]!transform_geodetic_to_grid(G61,H61,B61)</f>
        <v>6988606.198190474</v>
      </c>
      <c r="J61">
        <v>111996.01963891141</v>
      </c>
    </row>
    <row r="62" spans="1:10" x14ac:dyDescent="0.25">
      <c r="A62" t="s">
        <v>163</v>
      </c>
      <c r="B62">
        <v>3016</v>
      </c>
      <c r="C62" t="s">
        <v>103</v>
      </c>
      <c r="D62" t="s">
        <v>112</v>
      </c>
      <c r="E62">
        <v>7211548.9929999998</v>
      </c>
      <c r="F62">
        <v>114619.001</v>
      </c>
      <c r="G62" s="42">
        <f t="shared" si="0"/>
        <v>65</v>
      </c>
      <c r="H62" s="41">
        <f t="shared" si="1"/>
        <v>19.5</v>
      </c>
      <c r="I62">
        <f t="array" ref="I62:J62">[1]!transform_geodetic_to_grid(G62,H62,B62)</f>
        <v>7211548.9932358833</v>
      </c>
      <c r="J62">
        <v>114619.00099205202</v>
      </c>
    </row>
    <row r="63" spans="1:10" x14ac:dyDescent="0.25">
      <c r="A63" t="s">
        <v>163</v>
      </c>
      <c r="B63">
        <v>3016</v>
      </c>
      <c r="C63" t="s">
        <v>107</v>
      </c>
      <c r="D63" t="s">
        <v>112</v>
      </c>
      <c r="E63">
        <v>7434550.943</v>
      </c>
      <c r="F63">
        <v>117285.739</v>
      </c>
      <c r="G63" s="42">
        <f t="shared" si="0"/>
        <v>67</v>
      </c>
      <c r="H63" s="41">
        <f t="shared" si="1"/>
        <v>19.5</v>
      </c>
      <c r="I63">
        <f t="array" ref="I63:J63">[1]!transform_geodetic_to_grid(G63,H63,B63)</f>
        <v>7434550.9428757662</v>
      </c>
      <c r="J63">
        <v>117285.73911170421</v>
      </c>
    </row>
    <row r="64" spans="1:10" x14ac:dyDescent="0.25">
      <c r="A64" t="s">
        <v>163</v>
      </c>
      <c r="B64">
        <v>3016</v>
      </c>
      <c r="C64" t="s">
        <v>113</v>
      </c>
      <c r="D64" t="s">
        <v>112</v>
      </c>
      <c r="E64">
        <v>7657608.4649999999</v>
      </c>
      <c r="F64">
        <v>119992.96400000001</v>
      </c>
      <c r="G64" s="42">
        <f t="shared" si="0"/>
        <v>69</v>
      </c>
      <c r="H64" s="41">
        <f t="shared" si="1"/>
        <v>19.5</v>
      </c>
      <c r="I64">
        <f t="array" ref="I64:J64">[1]!transform_geodetic_to_grid(G64,H64,B64)</f>
        <v>7657608.4648523442</v>
      </c>
      <c r="J64">
        <v>119992.96350332609</v>
      </c>
    </row>
    <row r="65" spans="1:10" x14ac:dyDescent="0.25">
      <c r="A65" t="s">
        <v>163</v>
      </c>
      <c r="B65">
        <v>3016</v>
      </c>
      <c r="C65" t="s">
        <v>103</v>
      </c>
      <c r="D65" t="s">
        <v>114</v>
      </c>
      <c r="E65">
        <v>7211548.9929999998</v>
      </c>
      <c r="F65">
        <v>185380.99900000001</v>
      </c>
      <c r="G65" s="42">
        <f t="shared" si="0"/>
        <v>65</v>
      </c>
      <c r="H65" s="41">
        <f t="shared" si="1"/>
        <v>21</v>
      </c>
      <c r="I65">
        <f t="array" ref="I65:J65">[1]!transform_geodetic_to_grid(G65,H65,B65)</f>
        <v>7211548.9932358833</v>
      </c>
      <c r="J65">
        <v>185380.99900794815</v>
      </c>
    </row>
    <row r="66" spans="1:10" x14ac:dyDescent="0.25">
      <c r="A66" t="s">
        <v>163</v>
      </c>
      <c r="B66">
        <v>3016</v>
      </c>
      <c r="C66" t="s">
        <v>107</v>
      </c>
      <c r="D66" t="s">
        <v>114</v>
      </c>
      <c r="E66">
        <v>7434550.943</v>
      </c>
      <c r="F66">
        <v>182714.261</v>
      </c>
      <c r="G66" s="42">
        <f t="shared" si="0"/>
        <v>67</v>
      </c>
      <c r="H66" s="41">
        <f t="shared" si="1"/>
        <v>21</v>
      </c>
      <c r="I66">
        <f t="array" ref="I66:J66">[1]!transform_geodetic_to_grid(G66,H66,B66)</f>
        <v>7434550.9428757662</v>
      </c>
      <c r="J66">
        <v>182714.26088829592</v>
      </c>
    </row>
    <row r="67" spans="1:10" x14ac:dyDescent="0.25">
      <c r="A67" t="s">
        <v>163</v>
      </c>
      <c r="B67">
        <v>3016</v>
      </c>
      <c r="C67" t="s">
        <v>113</v>
      </c>
      <c r="D67" t="s">
        <v>114</v>
      </c>
      <c r="E67">
        <v>7657608.4649999999</v>
      </c>
      <c r="F67">
        <v>180007.03599999999</v>
      </c>
      <c r="G67" s="42">
        <f t="shared" si="0"/>
        <v>69</v>
      </c>
      <c r="H67" s="41">
        <f t="shared" si="1"/>
        <v>21</v>
      </c>
      <c r="I67">
        <f t="array" ref="I67:J67">[1]!transform_geodetic_to_grid(G67,H67,B67)</f>
        <v>7657608.4648523442</v>
      </c>
      <c r="J67">
        <v>180007.03649667429</v>
      </c>
    </row>
    <row r="68" spans="1:10" x14ac:dyDescent="0.25">
      <c r="A68" t="s">
        <v>164</v>
      </c>
      <c r="B68">
        <v>3017</v>
      </c>
      <c r="C68" t="s">
        <v>103</v>
      </c>
      <c r="D68" t="s">
        <v>114</v>
      </c>
      <c r="E68">
        <v>7211548.9929999998</v>
      </c>
      <c r="F68">
        <v>114619.001</v>
      </c>
      <c r="G68" s="42">
        <f t="shared" ref="G68:G75" si="2">VALUE(LEFT(C68,FIND("°",C68)-1))+(VALUE(MID(C68,4,2))/60)</f>
        <v>65</v>
      </c>
      <c r="H68" s="41">
        <f t="shared" ref="H68:H75" si="3">VALUE(LEFT(D68,FIND("°",D68)-1))+(VALUE(MID(D68,4,2))/60)</f>
        <v>21</v>
      </c>
      <c r="I68">
        <f t="array" ref="I68:J68">[1]!transform_geodetic_to_grid(G68,H68,B68)</f>
        <v>7211548.9932358833</v>
      </c>
      <c r="J68">
        <v>114619.00099205202</v>
      </c>
    </row>
    <row r="69" spans="1:10" x14ac:dyDescent="0.25">
      <c r="A69" t="s">
        <v>164</v>
      </c>
      <c r="B69">
        <v>3017</v>
      </c>
      <c r="C69" t="s">
        <v>107</v>
      </c>
      <c r="D69" t="s">
        <v>114</v>
      </c>
      <c r="E69">
        <v>7434550.943</v>
      </c>
      <c r="F69">
        <v>117285.739</v>
      </c>
      <c r="G69" s="42">
        <f t="shared" si="2"/>
        <v>67</v>
      </c>
      <c r="H69" s="41">
        <f t="shared" si="3"/>
        <v>21</v>
      </c>
      <c r="I69">
        <f t="array" ref="I69:J69">[1]!transform_geodetic_to_grid(G69,H69,B69)</f>
        <v>7434550.9428757662</v>
      </c>
      <c r="J69">
        <v>117285.73911170421</v>
      </c>
    </row>
    <row r="70" spans="1:10" x14ac:dyDescent="0.25">
      <c r="A70" t="s">
        <v>164</v>
      </c>
      <c r="B70">
        <v>3017</v>
      </c>
      <c r="C70" t="s">
        <v>103</v>
      </c>
      <c r="D70" t="s">
        <v>115</v>
      </c>
      <c r="E70">
        <v>7211548.9929999998</v>
      </c>
      <c r="F70">
        <v>185380.99900000001</v>
      </c>
      <c r="G70" s="42">
        <f t="shared" si="2"/>
        <v>65</v>
      </c>
      <c r="H70" s="41">
        <f t="shared" si="3"/>
        <v>22.5</v>
      </c>
      <c r="I70">
        <f t="array" ref="I70:J70">[1]!transform_geodetic_to_grid(G70,H70,B70)</f>
        <v>7211548.9932358833</v>
      </c>
      <c r="J70">
        <v>185380.99900794815</v>
      </c>
    </row>
    <row r="71" spans="1:10" x14ac:dyDescent="0.25">
      <c r="A71" t="s">
        <v>164</v>
      </c>
      <c r="B71">
        <v>3017</v>
      </c>
      <c r="C71" t="s">
        <v>107</v>
      </c>
      <c r="D71" t="s">
        <v>115</v>
      </c>
      <c r="E71">
        <v>7434550.943</v>
      </c>
      <c r="F71">
        <v>182714.261</v>
      </c>
      <c r="G71" s="42">
        <f t="shared" si="2"/>
        <v>67</v>
      </c>
      <c r="H71" s="41">
        <f t="shared" si="3"/>
        <v>22.5</v>
      </c>
      <c r="I71">
        <f t="array" ref="I71:J71">[1]!transform_geodetic_to_grid(G71,H71,B71)</f>
        <v>7434550.9428757662</v>
      </c>
      <c r="J71">
        <v>182714.26088829592</v>
      </c>
    </row>
    <row r="72" spans="1:10" x14ac:dyDescent="0.25">
      <c r="A72" t="s">
        <v>165</v>
      </c>
      <c r="B72">
        <v>3018</v>
      </c>
      <c r="C72" t="s">
        <v>103</v>
      </c>
      <c r="D72" t="s">
        <v>115</v>
      </c>
      <c r="E72">
        <v>7211548.9929999998</v>
      </c>
      <c r="F72">
        <v>114619.001</v>
      </c>
      <c r="G72" s="42">
        <f t="shared" si="2"/>
        <v>65</v>
      </c>
      <c r="H72" s="41">
        <f t="shared" si="3"/>
        <v>22.5</v>
      </c>
      <c r="I72">
        <f t="array" ref="I72:J72">[1]!transform_geodetic_to_grid(G72,H72,B72)</f>
        <v>7211548.9932358833</v>
      </c>
      <c r="J72">
        <v>114619.00099205202</v>
      </c>
    </row>
    <row r="73" spans="1:10" x14ac:dyDescent="0.25">
      <c r="A73" t="s">
        <v>165</v>
      </c>
      <c r="B73">
        <v>3018</v>
      </c>
      <c r="C73" t="s">
        <v>107</v>
      </c>
      <c r="D73" t="s">
        <v>115</v>
      </c>
      <c r="E73">
        <v>7434550.943</v>
      </c>
      <c r="F73">
        <v>117285.739</v>
      </c>
      <c r="G73" s="42">
        <f t="shared" si="2"/>
        <v>67</v>
      </c>
      <c r="H73" s="41">
        <f t="shared" si="3"/>
        <v>22.5</v>
      </c>
      <c r="I73">
        <f t="array" ref="I73:J73">[1]!transform_geodetic_to_grid(G73,H73,B73)</f>
        <v>7434550.9428757662</v>
      </c>
      <c r="J73">
        <v>117285.73911170421</v>
      </c>
    </row>
    <row r="74" spans="1:10" x14ac:dyDescent="0.25">
      <c r="A74" t="s">
        <v>165</v>
      </c>
      <c r="B74">
        <v>3018</v>
      </c>
      <c r="C74" t="s">
        <v>103</v>
      </c>
      <c r="D74" t="s">
        <v>116</v>
      </c>
      <c r="E74">
        <v>7211548.9929999998</v>
      </c>
      <c r="F74">
        <v>185380.99900000001</v>
      </c>
      <c r="G74" s="42">
        <f t="shared" si="2"/>
        <v>65</v>
      </c>
      <c r="H74" s="41">
        <f t="shared" si="3"/>
        <v>24</v>
      </c>
      <c r="I74">
        <f t="array" ref="I74:J74">[1]!transform_geodetic_to_grid(G74,H74,B74)</f>
        <v>7211548.9932358833</v>
      </c>
      <c r="J74">
        <v>185380.99900794815</v>
      </c>
    </row>
    <row r="75" spans="1:10" x14ac:dyDescent="0.25">
      <c r="A75" t="s">
        <v>165</v>
      </c>
      <c r="B75">
        <v>3018</v>
      </c>
      <c r="C75" t="s">
        <v>107</v>
      </c>
      <c r="D75" t="s">
        <v>116</v>
      </c>
      <c r="E75">
        <v>7434550.943</v>
      </c>
      <c r="F75">
        <v>182714.261</v>
      </c>
      <c r="G75" s="42">
        <f t="shared" si="2"/>
        <v>67</v>
      </c>
      <c r="H75" s="41">
        <f t="shared" si="3"/>
        <v>24</v>
      </c>
      <c r="I75">
        <f t="array" ref="I75:J75">[1]!transform_geodetic_to_grid(G75,H75,B75)</f>
        <v>7434550.9428757662</v>
      </c>
      <c r="J75">
        <v>182714.26088829592</v>
      </c>
    </row>
  </sheetData>
  <autoFilter ref="A2:J75" xr:uid="{00000000-0009-0000-0000-000006000000}"/>
  <mergeCells count="4">
    <mergeCell ref="C1:D1"/>
    <mergeCell ref="E1:F1"/>
    <mergeCell ref="G1:H1"/>
    <mergeCell ref="I1:J1"/>
  </mergeCells>
  <conditionalFormatting sqref="A2:J75">
    <cfRule type="expression" dxfId="0" priority="1">
      <formula>$A3&lt;&gt;$A2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A0B14-C3DF-46EE-B52A-08FEC2DF8A3C}">
  <dimension ref="A1:D26"/>
  <sheetViews>
    <sheetView workbookViewId="0">
      <selection sqref="A1:A1048576"/>
    </sheetView>
  </sheetViews>
  <sheetFormatPr defaultRowHeight="15" x14ac:dyDescent="0.25"/>
  <cols>
    <col min="1" max="1" width="20.140625" bestFit="1" customWidth="1"/>
    <col min="3" max="3" width="22.7109375" bestFit="1" customWidth="1"/>
    <col min="4" max="4" width="41" bestFit="1" customWidth="1"/>
  </cols>
  <sheetData>
    <row r="1" spans="1:4" x14ac:dyDescent="0.25">
      <c r="A1" s="48" t="s">
        <v>173</v>
      </c>
      <c r="B1" s="48" t="s">
        <v>174</v>
      </c>
      <c r="C1" s="43" t="s">
        <v>166</v>
      </c>
      <c r="D1" t="s">
        <v>167</v>
      </c>
    </row>
    <row r="2" spans="1:4" x14ac:dyDescent="0.25">
      <c r="A2" t="s">
        <v>155</v>
      </c>
      <c r="B2">
        <v>3007</v>
      </c>
      <c r="C2" s="31" t="str">
        <f>HYPERLINK("https://epsg.io/"&amp;B2)</f>
        <v>https://epsg.io/3007</v>
      </c>
      <c r="D2" s="31" t="str">
        <f>HYPERLINK("https://spatialreference.org/ref/epsg/"&amp;B2&amp;"/")</f>
        <v>https://spatialreference.org/ref/epsg/3007/</v>
      </c>
    </row>
    <row r="3" spans="1:4" x14ac:dyDescent="0.25">
      <c r="A3" t="s">
        <v>156</v>
      </c>
      <c r="B3">
        <v>3008</v>
      </c>
      <c r="C3" s="31" t="str">
        <f t="shared" ref="C3:C26" si="0">HYPERLINK("https://epsg.io/"&amp;B3)</f>
        <v>https://epsg.io/3008</v>
      </c>
      <c r="D3" s="31" t="str">
        <f t="shared" ref="D3:D26" si="1">HYPERLINK("https://spatialreference.org/ref/epsg/"&amp;B3&amp;"/")</f>
        <v>https://spatialreference.org/ref/epsg/3008/</v>
      </c>
    </row>
    <row r="4" spans="1:4" x14ac:dyDescent="0.25">
      <c r="A4" t="s">
        <v>157</v>
      </c>
      <c r="B4">
        <v>3012</v>
      </c>
      <c r="C4" s="31" t="str">
        <f t="shared" si="0"/>
        <v>https://epsg.io/3012</v>
      </c>
      <c r="D4" s="31" t="str">
        <f t="shared" si="1"/>
        <v>https://spatialreference.org/ref/epsg/3012/</v>
      </c>
    </row>
    <row r="5" spans="1:4" x14ac:dyDescent="0.25">
      <c r="A5" t="s">
        <v>158</v>
      </c>
      <c r="B5">
        <v>3009</v>
      </c>
      <c r="C5" s="31" t="str">
        <f t="shared" si="0"/>
        <v>https://epsg.io/3009</v>
      </c>
      <c r="D5" s="31" t="str">
        <f t="shared" si="1"/>
        <v>https://spatialreference.org/ref/epsg/3009/</v>
      </c>
    </row>
    <row r="6" spans="1:4" x14ac:dyDescent="0.25">
      <c r="A6" t="s">
        <v>159</v>
      </c>
      <c r="B6">
        <v>3013</v>
      </c>
      <c r="C6" s="31" t="str">
        <f t="shared" si="0"/>
        <v>https://epsg.io/3013</v>
      </c>
      <c r="D6" s="31" t="str">
        <f t="shared" si="1"/>
        <v>https://spatialreference.org/ref/epsg/3013/</v>
      </c>
    </row>
    <row r="7" spans="1:4" x14ac:dyDescent="0.25">
      <c r="A7" t="s">
        <v>160</v>
      </c>
      <c r="B7">
        <v>3010</v>
      </c>
      <c r="C7" s="31" t="str">
        <f t="shared" si="0"/>
        <v>https://epsg.io/3010</v>
      </c>
      <c r="D7" s="31" t="str">
        <f t="shared" si="1"/>
        <v>https://spatialreference.org/ref/epsg/3010/</v>
      </c>
    </row>
    <row r="8" spans="1:4" x14ac:dyDescent="0.25">
      <c r="A8" t="s">
        <v>161</v>
      </c>
      <c r="B8">
        <v>3014</v>
      </c>
      <c r="C8" s="31" t="str">
        <f t="shared" si="0"/>
        <v>https://epsg.io/3014</v>
      </c>
      <c r="D8" s="31" t="str">
        <f t="shared" si="1"/>
        <v>https://spatialreference.org/ref/epsg/3014/</v>
      </c>
    </row>
    <row r="9" spans="1:4" x14ac:dyDescent="0.25">
      <c r="A9" t="s">
        <v>142</v>
      </c>
      <c r="B9">
        <v>3011</v>
      </c>
      <c r="C9" s="31" t="str">
        <f t="shared" si="0"/>
        <v>https://epsg.io/3011</v>
      </c>
      <c r="D9" s="31" t="str">
        <f t="shared" si="1"/>
        <v>https://spatialreference.org/ref/epsg/3011/</v>
      </c>
    </row>
    <row r="10" spans="1:4" x14ac:dyDescent="0.25">
      <c r="A10" t="s">
        <v>162</v>
      </c>
      <c r="B10">
        <v>3015</v>
      </c>
      <c r="C10" s="31" t="str">
        <f t="shared" si="0"/>
        <v>https://epsg.io/3015</v>
      </c>
      <c r="D10" s="31" t="str">
        <f t="shared" si="1"/>
        <v>https://spatialreference.org/ref/epsg/3015/</v>
      </c>
    </row>
    <row r="11" spans="1:4" x14ac:dyDescent="0.25">
      <c r="A11" t="s">
        <v>163</v>
      </c>
      <c r="B11">
        <v>3016</v>
      </c>
      <c r="C11" s="31" t="str">
        <f t="shared" si="0"/>
        <v>https://epsg.io/3016</v>
      </c>
      <c r="D11" s="31" t="str">
        <f t="shared" si="1"/>
        <v>https://spatialreference.org/ref/epsg/3016/</v>
      </c>
    </row>
    <row r="12" spans="1:4" x14ac:dyDescent="0.25">
      <c r="A12" t="s">
        <v>164</v>
      </c>
      <c r="B12">
        <v>3017</v>
      </c>
      <c r="C12" s="31" t="str">
        <f t="shared" si="0"/>
        <v>https://epsg.io/3017</v>
      </c>
      <c r="D12" s="31" t="str">
        <f t="shared" si="1"/>
        <v>https://spatialreference.org/ref/epsg/3017/</v>
      </c>
    </row>
    <row r="13" spans="1:4" x14ac:dyDescent="0.25">
      <c r="A13" t="s">
        <v>165</v>
      </c>
      <c r="B13">
        <v>3018</v>
      </c>
      <c r="C13" s="31" t="str">
        <f t="shared" si="0"/>
        <v>https://epsg.io/3018</v>
      </c>
      <c r="D13" s="31" t="str">
        <f t="shared" si="1"/>
        <v>https://spatialreference.org/ref/epsg/3018/</v>
      </c>
    </row>
    <row r="14" spans="1:4" x14ac:dyDescent="0.25">
      <c r="A14" s="43" t="s">
        <v>51</v>
      </c>
      <c r="B14" s="43">
        <v>3006</v>
      </c>
      <c r="C14" s="58" t="str">
        <f t="shared" si="0"/>
        <v>https://epsg.io/3006</v>
      </c>
      <c r="D14" s="58" t="str">
        <f t="shared" si="1"/>
        <v>https://spatialreference.org/ref/epsg/3006/</v>
      </c>
    </row>
    <row r="15" spans="1:4" x14ac:dyDescent="0.25">
      <c r="A15" t="s">
        <v>144</v>
      </c>
      <c r="B15">
        <v>3022</v>
      </c>
      <c r="C15" s="31" t="str">
        <f t="shared" si="0"/>
        <v>https://epsg.io/3022</v>
      </c>
      <c r="D15" s="31" t="str">
        <f t="shared" si="1"/>
        <v>https://spatialreference.org/ref/epsg/3022/</v>
      </c>
    </row>
    <row r="16" spans="1:4" x14ac:dyDescent="0.25">
      <c r="A16" t="s">
        <v>145</v>
      </c>
      <c r="B16">
        <v>3023</v>
      </c>
      <c r="C16" s="31" t="str">
        <f t="shared" si="0"/>
        <v>https://epsg.io/3023</v>
      </c>
      <c r="D16" s="31" t="str">
        <f t="shared" si="1"/>
        <v>https://spatialreference.org/ref/epsg/3023/</v>
      </c>
    </row>
    <row r="17" spans="1:4" x14ac:dyDescent="0.25">
      <c r="A17" t="s">
        <v>146</v>
      </c>
      <c r="B17">
        <v>3021</v>
      </c>
      <c r="C17" s="31" t="str">
        <f t="shared" si="0"/>
        <v>https://epsg.io/3021</v>
      </c>
      <c r="D17" s="31" t="str">
        <f t="shared" si="1"/>
        <v>https://spatialreference.org/ref/epsg/3021/</v>
      </c>
    </row>
    <row r="18" spans="1:4" x14ac:dyDescent="0.25">
      <c r="A18" t="s">
        <v>147</v>
      </c>
      <c r="B18">
        <v>3024</v>
      </c>
      <c r="C18" s="31" t="str">
        <f t="shared" si="0"/>
        <v>https://epsg.io/3024</v>
      </c>
      <c r="D18" s="31" t="str">
        <f t="shared" si="1"/>
        <v>https://spatialreference.org/ref/epsg/3024/</v>
      </c>
    </row>
    <row r="19" spans="1:4" x14ac:dyDescent="0.25">
      <c r="A19" t="s">
        <v>148</v>
      </c>
      <c r="B19">
        <v>3020</v>
      </c>
      <c r="C19" s="31" t="str">
        <f t="shared" si="0"/>
        <v>https://epsg.io/3020</v>
      </c>
      <c r="D19" s="31" t="str">
        <f t="shared" si="1"/>
        <v>https://spatialreference.org/ref/epsg/3020/</v>
      </c>
    </row>
    <row r="20" spans="1:4" x14ac:dyDescent="0.25">
      <c r="A20" s="43" t="s">
        <v>149</v>
      </c>
      <c r="B20" s="43">
        <v>3019</v>
      </c>
      <c r="C20" s="58" t="str">
        <f t="shared" si="0"/>
        <v>https://epsg.io/3019</v>
      </c>
      <c r="D20" s="58" t="str">
        <f t="shared" si="1"/>
        <v>https://spatialreference.org/ref/epsg/3019/</v>
      </c>
    </row>
    <row r="21" spans="1:4" x14ac:dyDescent="0.25">
      <c r="A21" t="s">
        <v>150</v>
      </c>
      <c r="B21">
        <v>3848</v>
      </c>
      <c r="C21" s="31" t="str">
        <f t="shared" si="0"/>
        <v>https://epsg.io/3848</v>
      </c>
      <c r="D21" s="31" t="str">
        <f t="shared" si="1"/>
        <v>https://spatialreference.org/ref/epsg/3848/</v>
      </c>
    </row>
    <row r="22" spans="1:4" x14ac:dyDescent="0.25">
      <c r="A22" t="s">
        <v>151</v>
      </c>
      <c r="B22">
        <v>3849</v>
      </c>
      <c r="C22" s="31" t="str">
        <f t="shared" si="0"/>
        <v>https://epsg.io/3849</v>
      </c>
      <c r="D22" s="31" t="str">
        <f t="shared" si="1"/>
        <v>https://spatialreference.org/ref/epsg/3849/</v>
      </c>
    </row>
    <row r="23" spans="1:4" x14ac:dyDescent="0.25">
      <c r="A23" t="s">
        <v>50</v>
      </c>
      <c r="B23">
        <v>3847</v>
      </c>
      <c r="C23" s="31" t="str">
        <f t="shared" si="0"/>
        <v>https://epsg.io/3847</v>
      </c>
      <c r="D23" s="31" t="str">
        <f t="shared" si="1"/>
        <v>https://spatialreference.org/ref/epsg/3847/</v>
      </c>
    </row>
    <row r="24" spans="1:4" x14ac:dyDescent="0.25">
      <c r="A24" t="s">
        <v>152</v>
      </c>
      <c r="B24">
        <v>3850</v>
      </c>
      <c r="C24" s="31" t="str">
        <f t="shared" si="0"/>
        <v>https://epsg.io/3850</v>
      </c>
      <c r="D24" s="31" t="str">
        <f t="shared" si="1"/>
        <v>https://spatialreference.org/ref/epsg/3850/</v>
      </c>
    </row>
    <row r="25" spans="1:4" x14ac:dyDescent="0.25">
      <c r="A25" t="s">
        <v>153</v>
      </c>
      <c r="B25">
        <v>3846</v>
      </c>
      <c r="C25" s="31" t="str">
        <f t="shared" si="0"/>
        <v>https://epsg.io/3846</v>
      </c>
      <c r="D25" s="31" t="str">
        <f t="shared" si="1"/>
        <v>https://spatialreference.org/ref/epsg/3846/</v>
      </c>
    </row>
    <row r="26" spans="1:4" x14ac:dyDescent="0.25">
      <c r="A26" t="s">
        <v>154</v>
      </c>
      <c r="B26">
        <v>3845</v>
      </c>
      <c r="C26" s="31" t="str">
        <f t="shared" si="0"/>
        <v>https://epsg.io/3845</v>
      </c>
      <c r="D26" s="31" t="str">
        <f t="shared" si="1"/>
        <v>https://spatialreference.org/ref/epsg/3845/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10</vt:i4>
      </vt:variant>
      <vt:variant>
        <vt:lpstr>Namngivna områden</vt:lpstr>
      </vt:variant>
      <vt:variant>
        <vt:i4>1</vt:i4>
      </vt:variant>
    </vt:vector>
  </HeadingPairs>
  <TitlesOfParts>
    <vt:vector size="11" baseType="lpstr">
      <vt:lpstr>Instructions</vt:lpstr>
      <vt:lpstr>Examples</vt:lpstr>
      <vt:lpstr>Data (SWEREF 99 -&gt; RT90)</vt:lpstr>
      <vt:lpstr>Data (Lat_Long -&gt; SWEREF 99)</vt:lpstr>
      <vt:lpstr>parameters</vt:lpstr>
      <vt:lpstr>Control_points_direct_transform</vt:lpstr>
      <vt:lpstr>Control_points_direct_trans (2)</vt:lpstr>
      <vt:lpstr>Control_points_SWEREF99_TM</vt:lpstr>
      <vt:lpstr>Control_points_local_zones</vt:lpstr>
      <vt:lpstr>EPSG</vt:lpstr>
      <vt:lpstr>projection_list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 Hellström</cp:lastModifiedBy>
  <dcterms:created xsi:type="dcterms:W3CDTF">2012-04-20T09:04:27Z</dcterms:created>
  <dcterms:modified xsi:type="dcterms:W3CDTF">2025-05-02T21:32:06Z</dcterms:modified>
</cp:coreProperties>
</file>